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최현원\Desktop\최현원(컴퓨터)\2026\신영\최현원 개인\소스\엑셀\"/>
    </mc:Choice>
  </mc:AlternateContent>
  <xr:revisionPtr revIDLastSave="0" documentId="13_ncr:1_{FC2CFD35-31DF-4E91-8121-D5D016EF9994}" xr6:coauthVersionLast="47" xr6:coauthVersionMax="47" xr10:uidLastSave="{00000000-0000-0000-0000-000000000000}"/>
  <bookViews>
    <workbookView xWindow="-120" yWindow="-120" windowWidth="29040" windowHeight="15720" activeTab="1" xr2:uid="{55E4BB7E-5E4E-4DB4-9553-A25BBD70389C}"/>
  </bookViews>
  <sheets>
    <sheet name="개요1단지(4,5BL)" sheetId="7" r:id="rId1"/>
    <sheet name="개요2단지(3BL)" sheetId="1" r:id="rId2"/>
    <sheet name="Sheet1" sheetId="6" state="hidden" r:id="rId3"/>
    <sheet name="용적률 인센티브 계산" sheetId="9" r:id="rId4"/>
    <sheet name="주변단지 사례" sheetId="10" r:id="rId5"/>
  </sheets>
  <definedNames>
    <definedName name="_xlnm.Print_Area" localSheetId="0">'개요1단지(4,5BL)'!$B$3:$T$49</definedName>
    <definedName name="_xlnm.Print_Area" localSheetId="1">'개요2단지(3BL)'!$B$3:$T$49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7" i="1" l="1"/>
  <c r="I24" i="7"/>
  <c r="G29" i="1"/>
  <c r="G11" i="1"/>
  <c r="G29" i="7"/>
  <c r="G11" i="7"/>
  <c r="B10" i="9"/>
  <c r="B20" i="9"/>
  <c r="I20" i="9"/>
  <c r="H20" i="9"/>
  <c r="G20" i="9"/>
  <c r="I10" i="9"/>
  <c r="H10" i="9"/>
  <c r="G10" i="9"/>
  <c r="C20" i="9"/>
  <c r="D20" i="9"/>
  <c r="C10" i="9"/>
  <c r="D10" i="9"/>
  <c r="C26" i="6"/>
  <c r="C21" i="6"/>
  <c r="C15" i="6"/>
  <c r="C19" i="6" s="1"/>
  <c r="N48" i="7"/>
  <c r="G48" i="7"/>
  <c r="E48" i="7"/>
  <c r="L47" i="7"/>
  <c r="N38" i="7" s="1"/>
  <c r="H47" i="7"/>
  <c r="L46" i="7"/>
  <c r="N37" i="7" s="1"/>
  <c r="H46" i="7"/>
  <c r="L45" i="7"/>
  <c r="H45" i="7"/>
  <c r="M38" i="7"/>
  <c r="G38" i="7"/>
  <c r="M37" i="7"/>
  <c r="I34" i="7"/>
  <c r="I30" i="7"/>
  <c r="Q20" i="7" s="1"/>
  <c r="I28" i="7"/>
  <c r="I27" i="7"/>
  <c r="I25" i="7"/>
  <c r="I23" i="7"/>
  <c r="I22" i="7"/>
  <c r="Q28" i="7" s="1"/>
  <c r="I21" i="7"/>
  <c r="I20" i="7"/>
  <c r="Q26" i="7" s="1"/>
  <c r="I19" i="7"/>
  <c r="Q25" i="7" s="1"/>
  <c r="I18" i="7"/>
  <c r="Q24" i="7" s="1"/>
  <c r="I17" i="7"/>
  <c r="Q23" i="7" s="1"/>
  <c r="I16" i="7"/>
  <c r="Q17" i="7" s="1"/>
  <c r="P15" i="7"/>
  <c r="P8" i="7"/>
  <c r="I8" i="7"/>
  <c r="P7" i="7"/>
  <c r="C13" i="6"/>
  <c r="C10" i="6" s="1"/>
  <c r="C5" i="6"/>
  <c r="C2" i="6" s="1"/>
  <c r="G38" i="1"/>
  <c r="Q27" i="7" l="1"/>
  <c r="Q32" i="7"/>
  <c r="S32" i="7" s="1"/>
  <c r="M39" i="7"/>
  <c r="O38" i="7"/>
  <c r="F46" i="7"/>
  <c r="F45" i="7"/>
  <c r="P21" i="7"/>
  <c r="P19" i="7"/>
  <c r="P17" i="7"/>
  <c r="P9" i="7"/>
  <c r="P24" i="7"/>
  <c r="P23" i="7"/>
  <c r="E23" i="7"/>
  <c r="P30" i="7"/>
  <c r="F47" i="7"/>
  <c r="N46" i="7"/>
  <c r="N45" i="7"/>
  <c r="N47" i="7"/>
  <c r="T47" i="7"/>
  <c r="M47" i="7"/>
  <c r="D47" i="7" s="1"/>
  <c r="I47" i="7"/>
  <c r="J47" i="7" s="1"/>
  <c r="M46" i="7"/>
  <c r="D46" i="7" s="1"/>
  <c r="T46" i="7"/>
  <c r="I46" i="7"/>
  <c r="J46" i="7" s="1"/>
  <c r="I45" i="7"/>
  <c r="J45" i="7" s="1"/>
  <c r="L48" i="7"/>
  <c r="T45" i="7"/>
  <c r="M45" i="7"/>
  <c r="D45" i="7" s="1"/>
  <c r="H48" i="7"/>
  <c r="O37" i="7"/>
  <c r="N39" i="7"/>
  <c r="O39" i="7" s="1"/>
  <c r="I9" i="7"/>
  <c r="M37" i="1"/>
  <c r="M38" i="1"/>
  <c r="N49" i="7" l="1"/>
  <c r="Q21" i="7"/>
  <c r="I48" i="7"/>
  <c r="J48" i="7" s="1"/>
  <c r="L52" i="7" s="1"/>
  <c r="L53" i="7" s="1"/>
  <c r="P37" i="7"/>
  <c r="F48" i="7"/>
  <c r="N9" i="7"/>
  <c r="P14" i="7"/>
  <c r="P38" i="7"/>
  <c r="M48" i="7"/>
  <c r="G15" i="7"/>
  <c r="T48" i="7"/>
  <c r="I10" i="7"/>
  <c r="P18" i="7"/>
  <c r="Q18" i="7" s="1"/>
  <c r="G35" i="7"/>
  <c r="L49" i="7" l="1"/>
  <c r="G31" i="7"/>
  <c r="V32" i="7" s="1"/>
  <c r="H26" i="7" s="1"/>
  <c r="H29" i="7" s="1"/>
  <c r="Q13" i="7"/>
  <c r="Q12" i="7"/>
  <c r="H38" i="7"/>
  <c r="P16" i="7"/>
  <c r="Q11" i="7"/>
  <c r="S14" i="7"/>
  <c r="P39" i="7"/>
  <c r="I15" i="7"/>
  <c r="I29" i="7" l="1"/>
  <c r="H31" i="7"/>
  <c r="P48" i="7"/>
  <c r="I26" i="7"/>
  <c r="Q10" i="7"/>
  <c r="I38" i="7"/>
  <c r="G32" i="7"/>
  <c r="G33" i="7"/>
  <c r="G36" i="7" s="1"/>
  <c r="L45" i="1"/>
  <c r="P47" i="7" l="1"/>
  <c r="P46" i="7"/>
  <c r="P45" i="7"/>
  <c r="G39" i="7"/>
  <c r="H39" i="7"/>
  <c r="E24" i="7"/>
  <c r="O48" i="7"/>
  <c r="V5" i="7"/>
  <c r="I33" i="7"/>
  <c r="I39" i="7" l="1"/>
  <c r="Q52" i="7"/>
  <c r="O47" i="7"/>
  <c r="Q47" i="7" s="1"/>
  <c r="R47" i="7" s="1"/>
  <c r="S47" i="7" s="1"/>
  <c r="O46" i="7"/>
  <c r="Q46" i="7" s="1"/>
  <c r="R46" i="7" s="1"/>
  <c r="S46" i="7" s="1"/>
  <c r="O45" i="7"/>
  <c r="Q45" i="7" s="1"/>
  <c r="R52" i="7"/>
  <c r="I31" i="7"/>
  <c r="I32" i="7" s="1"/>
  <c r="H32" i="7"/>
  <c r="P8" i="1"/>
  <c r="H45" i="1"/>
  <c r="L47" i="1"/>
  <c r="M47" i="1" s="1"/>
  <c r="D47" i="1" s="1"/>
  <c r="L46" i="1"/>
  <c r="M46" i="1" s="1"/>
  <c r="D46" i="1" s="1"/>
  <c r="M45" i="1"/>
  <c r="D45" i="1" s="1"/>
  <c r="H46" i="1"/>
  <c r="G48" i="1"/>
  <c r="I30" i="1"/>
  <c r="I22" i="1"/>
  <c r="Q28" i="1" s="1"/>
  <c r="I17" i="1"/>
  <c r="Q23" i="1" s="1"/>
  <c r="P7" i="1"/>
  <c r="E48" i="1"/>
  <c r="I16" i="1"/>
  <c r="Q17" i="1" s="1"/>
  <c r="I25" i="1"/>
  <c r="I27" i="1"/>
  <c r="I28" i="1"/>
  <c r="I9" i="1"/>
  <c r="I8" i="1"/>
  <c r="P24" i="1" l="1"/>
  <c r="P23" i="1"/>
  <c r="P9" i="1"/>
  <c r="R45" i="7"/>
  <c r="S45" i="7" s="1"/>
  <c r="Q48" i="7"/>
  <c r="P15" i="1"/>
  <c r="F47" i="1"/>
  <c r="P18" i="1"/>
  <c r="Q18" i="1" s="1"/>
  <c r="I45" i="1"/>
  <c r="J45" i="1" s="1"/>
  <c r="T45" i="1" s="1"/>
  <c r="H48" i="1"/>
  <c r="I46" i="1"/>
  <c r="J46" i="1" s="1"/>
  <c r="I47" i="1"/>
  <c r="N38" i="1"/>
  <c r="M39" i="1"/>
  <c r="T46" i="1"/>
  <c r="F46" i="1"/>
  <c r="Q20" i="1"/>
  <c r="P17" i="1"/>
  <c r="P19" i="1"/>
  <c r="P21" i="1"/>
  <c r="P30" i="1"/>
  <c r="I21" i="1"/>
  <c r="Q32" i="1" s="1"/>
  <c r="S32" i="1" s="1"/>
  <c r="I18" i="1"/>
  <c r="Q24" i="1" s="1"/>
  <c r="F45" i="1"/>
  <c r="I10" i="1"/>
  <c r="R48" i="7" l="1"/>
  <c r="Q53" i="7"/>
  <c r="Q27" i="1"/>
  <c r="I23" i="1"/>
  <c r="P14" i="1"/>
  <c r="H38" i="1" s="1"/>
  <c r="E24" i="1" s="1"/>
  <c r="N9" i="1"/>
  <c r="P38" i="1"/>
  <c r="E23" i="1"/>
  <c r="I48" i="1"/>
  <c r="J48" i="1" s="1"/>
  <c r="L52" i="1" s="1"/>
  <c r="J47" i="1"/>
  <c r="L48" i="1"/>
  <c r="N37" i="1"/>
  <c r="O37" i="1" s="1"/>
  <c r="F48" i="1"/>
  <c r="P37" i="1"/>
  <c r="T47" i="1"/>
  <c r="O38" i="1"/>
  <c r="S48" i="7" l="1"/>
  <c r="R49" i="7"/>
  <c r="R53" i="7"/>
  <c r="P39" i="1"/>
  <c r="P16" i="1"/>
  <c r="S14" i="1"/>
  <c r="M48" i="1"/>
  <c r="L53" i="1"/>
  <c r="T48" i="1"/>
  <c r="N39" i="1"/>
  <c r="O39" i="1" s="1"/>
  <c r="G15" i="1"/>
  <c r="L49" i="1" l="1"/>
  <c r="G31" i="1"/>
  <c r="I15" i="1"/>
  <c r="I19" i="1" l="1"/>
  <c r="Q25" i="1" s="1"/>
  <c r="V32" i="1"/>
  <c r="H26" i="1" s="1"/>
  <c r="H29" i="1" s="1"/>
  <c r="N48" i="1"/>
  <c r="N49" i="1" s="1"/>
  <c r="I20" i="1"/>
  <c r="Q26" i="1" s="1"/>
  <c r="I29" i="1" l="1"/>
  <c r="H31" i="1"/>
  <c r="P48" i="1"/>
  <c r="I26" i="1"/>
  <c r="N46" i="1"/>
  <c r="G33" i="1"/>
  <c r="G36" i="1" s="1"/>
  <c r="N47" i="1"/>
  <c r="Q21" i="1"/>
  <c r="N45" i="1"/>
  <c r="G32" i="1"/>
  <c r="Q13" i="1"/>
  <c r="Q12" i="1"/>
  <c r="P47" i="1" l="1"/>
  <c r="P45" i="1"/>
  <c r="P46" i="1"/>
  <c r="V5" i="1"/>
  <c r="I33" i="1"/>
  <c r="Q11" i="1"/>
  <c r="Q10" i="1" s="1"/>
  <c r="O48" i="1"/>
  <c r="O46" i="1" l="1"/>
  <c r="Q46" i="1" s="1"/>
  <c r="R46" i="1" s="1"/>
  <c r="S46" i="1" s="1"/>
  <c r="Q52" i="1"/>
  <c r="I38" i="1"/>
  <c r="G39" i="1" s="1"/>
  <c r="R52" i="1"/>
  <c r="I24" i="1"/>
  <c r="H39" i="1" l="1"/>
  <c r="I39" i="1" s="1"/>
  <c r="O45" i="1"/>
  <c r="Q45" i="1" s="1"/>
  <c r="O47" i="1"/>
  <c r="Q47" i="1" s="1"/>
  <c r="R47" i="1" s="1"/>
  <c r="S47" i="1" s="1"/>
  <c r="I31" i="1"/>
  <c r="H32" i="1"/>
  <c r="I32" i="1" l="1"/>
  <c r="Q48" i="1"/>
  <c r="R45" i="1"/>
  <c r="S45" i="1" s="1"/>
  <c r="R48" i="1" l="1"/>
  <c r="S48" i="1" s="1"/>
  <c r="Q53" i="1"/>
  <c r="R53" i="1" l="1"/>
  <c r="R49" i="1"/>
  <c r="G35" i="1" l="1"/>
  <c r="I34" i="1"/>
</calcChain>
</file>

<file path=xl/sharedStrings.xml><?xml version="1.0" encoding="utf-8"?>
<sst xmlns="http://schemas.openxmlformats.org/spreadsheetml/2006/main" count="464" uniqueCount="242">
  <si>
    <t>사업명</t>
    <phoneticPr fontId="1" type="noConversion"/>
  </si>
  <si>
    <t>대지위치</t>
    <phoneticPr fontId="1" type="noConversion"/>
  </si>
  <si>
    <t>지역지구</t>
    <phoneticPr fontId="1" type="noConversion"/>
  </si>
  <si>
    <t>사업면적</t>
    <phoneticPr fontId="1" type="noConversion"/>
  </si>
  <si>
    <t>건설규모</t>
    <phoneticPr fontId="1" type="noConversion"/>
  </si>
  <si>
    <t>구조</t>
    <phoneticPr fontId="1" type="noConversion"/>
  </si>
  <si>
    <t>연면적</t>
    <phoneticPr fontId="1" type="noConversion"/>
  </si>
  <si>
    <t>구분</t>
    <phoneticPr fontId="1" type="noConversion"/>
  </si>
  <si>
    <t>공동주택</t>
    <phoneticPr fontId="1" type="noConversion"/>
  </si>
  <si>
    <t>관리사무소</t>
    <phoneticPr fontId="1" type="noConversion"/>
  </si>
  <si>
    <t>경로당</t>
    <phoneticPr fontId="1" type="noConversion"/>
  </si>
  <si>
    <t>어린이집</t>
    <phoneticPr fontId="1" type="noConversion"/>
  </si>
  <si>
    <t>작은도서관</t>
    <phoneticPr fontId="1" type="noConversion"/>
  </si>
  <si>
    <t>다함께돌봄센터</t>
    <phoneticPr fontId="1" type="noConversion"/>
  </si>
  <si>
    <t>주민공동시설</t>
    <phoneticPr fontId="1" type="noConversion"/>
  </si>
  <si>
    <t>경비실</t>
    <phoneticPr fontId="1" type="noConversion"/>
  </si>
  <si>
    <t>주차장</t>
    <phoneticPr fontId="1" type="noConversion"/>
  </si>
  <si>
    <t>열교환기실</t>
    <phoneticPr fontId="1" type="noConversion"/>
  </si>
  <si>
    <t>총계</t>
    <phoneticPr fontId="1" type="noConversion"/>
  </si>
  <si>
    <t>용적률 산정용 연면적</t>
    <phoneticPr fontId="1" type="noConversion"/>
  </si>
  <si>
    <t>건축면적</t>
    <phoneticPr fontId="1" type="noConversion"/>
  </si>
  <si>
    <t>건폐율</t>
    <phoneticPr fontId="1" type="noConversion"/>
  </si>
  <si>
    <t xml:space="preserve">용적률 </t>
    <phoneticPr fontId="1" type="noConversion"/>
  </si>
  <si>
    <t>주차대수</t>
    <phoneticPr fontId="1" type="noConversion"/>
  </si>
  <si>
    <t>지상</t>
    <phoneticPr fontId="1" type="noConversion"/>
  </si>
  <si>
    <t>지하</t>
    <phoneticPr fontId="1" type="noConversion"/>
  </si>
  <si>
    <t>합계</t>
    <phoneticPr fontId="1" type="noConversion"/>
  </si>
  <si>
    <t>항목</t>
    <phoneticPr fontId="1" type="noConversion"/>
  </si>
  <si>
    <t>법적내용</t>
    <phoneticPr fontId="1" type="noConversion"/>
  </si>
  <si>
    <t>법적규정</t>
    <phoneticPr fontId="1" type="noConversion"/>
  </si>
  <si>
    <t>설치내용</t>
    <phoneticPr fontId="1" type="noConversion"/>
  </si>
  <si>
    <t>비고</t>
    <phoneticPr fontId="1" type="noConversion"/>
  </si>
  <si>
    <t>단지내도로</t>
    <phoneticPr fontId="1" type="noConversion"/>
  </si>
  <si>
    <t>주차대수 산정</t>
    <phoneticPr fontId="1" type="noConversion"/>
  </si>
  <si>
    <t>전용 85㎡이하 1/85㎡</t>
    <phoneticPr fontId="1" type="noConversion"/>
  </si>
  <si>
    <t>전용 85㎡초과 1/70㎡</t>
    <phoneticPr fontId="1" type="noConversion"/>
  </si>
  <si>
    <t>공동주택단지 7m이상, 통학버스 정차구역 설치</t>
    <phoneticPr fontId="1" type="noConversion"/>
  </si>
  <si>
    <t>7m 이상</t>
    <phoneticPr fontId="1" type="noConversion"/>
  </si>
  <si>
    <t>7m이상</t>
    <phoneticPr fontId="1" type="noConversion"/>
  </si>
  <si>
    <t>보도포함</t>
    <phoneticPr fontId="1" type="noConversion"/>
  </si>
  <si>
    <t>확장형주차</t>
    <phoneticPr fontId="1" type="noConversion"/>
  </si>
  <si>
    <t>전기차주차</t>
    <phoneticPr fontId="1" type="noConversion"/>
  </si>
  <si>
    <t>장애인주차</t>
    <phoneticPr fontId="1" type="noConversion"/>
  </si>
  <si>
    <t>소계</t>
    <phoneticPr fontId="1" type="noConversion"/>
  </si>
  <si>
    <t>근린생활시설</t>
    <phoneticPr fontId="1" type="noConversion"/>
  </si>
  <si>
    <t>시설면적 / 134㎡</t>
    <phoneticPr fontId="1" type="noConversion"/>
  </si>
  <si>
    <t>조경면적</t>
    <phoneticPr fontId="1" type="noConversion"/>
  </si>
  <si>
    <t>지하저수조</t>
    <phoneticPr fontId="1" type="noConversion"/>
  </si>
  <si>
    <t>60㎡이하</t>
    <phoneticPr fontId="1" type="noConversion"/>
  </si>
  <si>
    <t>60㎡~85㎡이하</t>
    <phoneticPr fontId="1" type="noConversion"/>
  </si>
  <si>
    <t>85㎡초과</t>
    <phoneticPr fontId="1" type="noConversion"/>
  </si>
  <si>
    <t>규모</t>
    <phoneticPr fontId="1" type="noConversion"/>
  </si>
  <si>
    <t>세대수</t>
    <phoneticPr fontId="1" type="noConversion"/>
  </si>
  <si>
    <t>공급면적</t>
    <phoneticPr fontId="1" type="noConversion"/>
  </si>
  <si>
    <t>세대비율</t>
    <phoneticPr fontId="1" type="noConversion"/>
  </si>
  <si>
    <t>어린이놀이터</t>
    <phoneticPr fontId="1" type="noConversion"/>
  </si>
  <si>
    <t>주민운동시설</t>
    <phoneticPr fontId="1" type="noConversion"/>
  </si>
  <si>
    <t>주택건설 기준등에
관한규정</t>
    <phoneticPr fontId="1" type="noConversion"/>
  </si>
  <si>
    <t>100세대~1000세대 미만: 세대당*2.5㎡</t>
    <phoneticPr fontId="1" type="noConversion"/>
  </si>
  <si>
    <t>1000세대 이상: 500㎡+(세대당*2㎡)</t>
    <phoneticPr fontId="1" type="noConversion"/>
  </si>
  <si>
    <t>33㎡이상, 열람석6석이상, 1,000권이상(100㎡내외 권장)</t>
    <phoneticPr fontId="1" type="noConversion"/>
  </si>
  <si>
    <t>500세대 이상</t>
    <phoneticPr fontId="1" type="noConversion"/>
  </si>
  <si>
    <t>300세대~1,000세대 미만: 200㎡+세대당1㎡</t>
    <phoneticPr fontId="1" type="noConversion"/>
  </si>
  <si>
    <t>평형타입</t>
    <phoneticPr fontId="1" type="noConversion"/>
  </si>
  <si>
    <t>전용면적</t>
    <phoneticPr fontId="1" type="noConversion"/>
  </si>
  <si>
    <t>주거공용면적</t>
    <phoneticPr fontId="1" type="noConversion"/>
  </si>
  <si>
    <t>벽체공유면적</t>
    <phoneticPr fontId="1" type="noConversion"/>
  </si>
  <si>
    <t>공용면적</t>
    <phoneticPr fontId="1" type="noConversion"/>
  </si>
  <si>
    <t>기타공용면적</t>
    <phoneticPr fontId="1" type="noConversion"/>
  </si>
  <si>
    <t>기전실</t>
    <phoneticPr fontId="1" type="noConversion"/>
  </si>
  <si>
    <t>계약면적(㎡/PY)</t>
    <phoneticPr fontId="1" type="noConversion"/>
  </si>
  <si>
    <t>철근콘크리트 벽식구조</t>
    <phoneticPr fontId="1" type="noConversion"/>
  </si>
  <si>
    <t>전용률</t>
    <phoneticPr fontId="1" type="noConversion"/>
  </si>
  <si>
    <t>주택건설기준등에 
관한 규정</t>
    <phoneticPr fontId="1" type="noConversion"/>
  </si>
  <si>
    <t>10+(세대수-50)*0.05</t>
    <phoneticPr fontId="1" type="noConversion"/>
  </si>
  <si>
    <t>대지면적 * 30%</t>
    <phoneticPr fontId="1" type="noConversion"/>
  </si>
  <si>
    <t>세대당 0.5ton 이상</t>
    <phoneticPr fontId="1" type="noConversion"/>
  </si>
  <si>
    <t>30%이상</t>
    <phoneticPr fontId="1" type="noConversion"/>
  </si>
  <si>
    <t>5%이상</t>
    <phoneticPr fontId="1" type="noConversion"/>
  </si>
  <si>
    <t>3%이상</t>
    <phoneticPr fontId="1" type="noConversion"/>
  </si>
  <si>
    <t>교통수요 예측 값</t>
    <phoneticPr fontId="1" type="noConversion"/>
  </si>
  <si>
    <t>의무시설</t>
    <phoneticPr fontId="1" type="noConversion"/>
  </si>
  <si>
    <t>일반형 주차</t>
    <phoneticPr fontId="1" type="noConversion"/>
  </si>
  <si>
    <t>-</t>
    <phoneticPr fontId="1" type="noConversion"/>
  </si>
  <si>
    <t>500세대 이상 의무설치</t>
    <phoneticPr fontId="1" type="noConversion"/>
  </si>
  <si>
    <t>500세대이상 의무설치</t>
    <phoneticPr fontId="1" type="noConversion"/>
  </si>
  <si>
    <t>■ 규모별 공급비율</t>
    <phoneticPr fontId="1" type="noConversion"/>
  </si>
  <si>
    <t>■ 단위세대 면적표</t>
    <phoneticPr fontId="1" type="noConversion"/>
  </si>
  <si>
    <t xml:space="preserve">주차장 </t>
    <phoneticPr fontId="1" type="noConversion"/>
  </si>
  <si>
    <t>경로당, 어린이집, 주민공동시설,놀이터</t>
    <phoneticPr fontId="1" type="noConversion"/>
  </si>
  <si>
    <t>전기실/기계실</t>
    <phoneticPr fontId="1" type="noConversion"/>
  </si>
  <si>
    <t>부대시설 및 세대창고</t>
    <phoneticPr fontId="1" type="noConversion"/>
  </si>
  <si>
    <t>계약면적</t>
    <phoneticPr fontId="1" type="noConversion"/>
  </si>
  <si>
    <t>■ 주택건설기준 등에 관한 규정</t>
    <phoneticPr fontId="1" type="noConversion"/>
  </si>
  <si>
    <t>기타 주민공동시설</t>
    <phoneticPr fontId="1" type="noConversion"/>
  </si>
  <si>
    <t>저수조/펌프실(연면적 제외)</t>
    <phoneticPr fontId="1" type="noConversion"/>
  </si>
  <si>
    <t>세대창고(50%세대 제공)</t>
    <phoneticPr fontId="1" type="noConversion"/>
  </si>
  <si>
    <t>울산시 남구 신정동 716-1번지 일원 공동주택_3BL</t>
    <phoneticPr fontId="1" type="noConversion"/>
  </si>
  <si>
    <t>울산시 남구 신정동 716-1번지 일원</t>
    <phoneticPr fontId="1" type="noConversion"/>
  </si>
  <si>
    <t>74타입</t>
    <phoneticPr fontId="1" type="noConversion"/>
  </si>
  <si>
    <t>84타입</t>
    <phoneticPr fontId="1" type="noConversion"/>
  </si>
  <si>
    <t>법정: 70%이하</t>
    <phoneticPr fontId="1" type="noConversion"/>
  </si>
  <si>
    <t>기부채납 면적</t>
    <phoneticPr fontId="1" type="noConversion"/>
  </si>
  <si>
    <t>법적 용적률</t>
    <phoneticPr fontId="1" type="noConversion"/>
  </si>
  <si>
    <t>계수a</t>
    <phoneticPr fontId="1" type="noConversion"/>
  </si>
  <si>
    <t>대지면적(기부전)</t>
    <phoneticPr fontId="1" type="noConversion"/>
  </si>
  <si>
    <t>상업시설 인센티브</t>
    <phoneticPr fontId="1" type="noConversion"/>
  </si>
  <si>
    <t>지구단위 계획</t>
    <phoneticPr fontId="1" type="noConversion"/>
  </si>
  <si>
    <t>(공공시설 등 부지제공)</t>
    <phoneticPr fontId="1" type="noConversion"/>
  </si>
  <si>
    <t>기준용적률</t>
    <phoneticPr fontId="1" type="noConversion"/>
  </si>
  <si>
    <t>공공시설등 부지 제공 면적</t>
    <phoneticPr fontId="1" type="noConversion"/>
  </si>
  <si>
    <t>부지 제공 후 대지면적</t>
    <phoneticPr fontId="1" type="noConversion"/>
  </si>
  <si>
    <t>사업매입면적</t>
    <phoneticPr fontId="1" type="noConversion"/>
  </si>
  <si>
    <t>실사용 대지면적</t>
    <phoneticPr fontId="1" type="noConversion"/>
  </si>
  <si>
    <t>300세대이상 600세대 미만: 세대수*0.1인</t>
    <phoneticPr fontId="1" type="noConversion"/>
  </si>
  <si>
    <t>50+(세대수*0.1)</t>
    <phoneticPr fontId="1" type="noConversion"/>
  </si>
  <si>
    <t>준주거 지역</t>
    <phoneticPr fontId="1" type="noConversion"/>
  </si>
  <si>
    <t>제공전 해당 용적률</t>
    <phoneticPr fontId="1" type="noConversion"/>
  </si>
  <si>
    <t>기존대지면적</t>
    <phoneticPr fontId="1" type="noConversion"/>
  </si>
  <si>
    <t>공공시설 제공면적</t>
    <phoneticPr fontId="1" type="noConversion"/>
  </si>
  <si>
    <t>완화 가능 용적률</t>
    <phoneticPr fontId="1" type="noConversion"/>
  </si>
  <si>
    <t>합산</t>
    <phoneticPr fontId="1" type="noConversion"/>
  </si>
  <si>
    <t>공공시설 등의 부지 제공 후의 대지면적</t>
    <phoneticPr fontId="1" type="noConversion"/>
  </si>
  <si>
    <t>국계법 시행령 제46조(도시지역 내 지구단위계획구역에서의 건폐율 등의 완화적용)의
나. 완화할 수 있는 용적률 ＝ 해당 용도지역에 적용되는 용적률 ＋ [1.5 × (공공시설등의 부지로 제공하는 면적 × 공공시설등 제공 부지의 용적률)÷ 공공시설등의 부지 제공 후의 대지면적] 이내</t>
    <phoneticPr fontId="1" type="noConversion"/>
  </si>
  <si>
    <t>완화할 수 있는 용적률</t>
    <phoneticPr fontId="1" type="noConversion"/>
  </si>
  <si>
    <t>해당 용도지역에 적용되는 용적률</t>
    <phoneticPr fontId="1" type="noConversion"/>
  </si>
  <si>
    <t>공공시설등의 부지로 제공하는 면적</t>
    <phoneticPr fontId="1" type="noConversion"/>
  </si>
  <si>
    <t>공공시설등 제공부지의 용적률</t>
    <phoneticPr fontId="1" type="noConversion"/>
  </si>
  <si>
    <t>공공시설 등 제공부지의 용적률</t>
    <phoneticPr fontId="1" type="noConversion"/>
  </si>
  <si>
    <t>공공시설용적률/사업부지용적률</t>
    <phoneticPr fontId="1" type="noConversion"/>
  </si>
  <si>
    <t>B22+((1.5*B23*B24)/B25)</t>
    <phoneticPr fontId="1" type="noConversion"/>
  </si>
  <si>
    <t>전체부지면적</t>
    <phoneticPr fontId="1" type="noConversion"/>
  </si>
  <si>
    <t>지단지침</t>
    <phoneticPr fontId="1" type="noConversion"/>
  </si>
  <si>
    <t>조례</t>
    <phoneticPr fontId="1" type="noConversion"/>
  </si>
  <si>
    <t>조례최대</t>
    <phoneticPr fontId="1" type="noConversion"/>
  </si>
  <si>
    <t>구역면적</t>
    <phoneticPr fontId="1" type="noConversion"/>
  </si>
  <si>
    <t>대지면적</t>
    <phoneticPr fontId="1" type="noConversion"/>
  </si>
  <si>
    <t>공공시설 제공 부지면적</t>
    <phoneticPr fontId="1" type="noConversion"/>
  </si>
  <si>
    <t>완화 용적률(%)</t>
    <phoneticPr fontId="1" type="noConversion"/>
  </si>
  <si>
    <t>3블럭(2단지)</t>
    <phoneticPr fontId="1" type="noConversion"/>
  </si>
  <si>
    <t>4,5블럭(1단지)</t>
    <phoneticPr fontId="1" type="noConversion"/>
  </si>
  <si>
    <t>울산광역시 지구단위계획 수립지침</t>
    <phoneticPr fontId="1" type="noConversion"/>
  </si>
  <si>
    <t>국계법 시행령 제46조(도시지역 내 지구단위계획구역에서의 건폐율 등의 완화적용)의
나. 완화할 수 있는 용적률 ＝ 해당 용도지역에 적용되는 용적률 ＋ [1.5 × (공공시설등의 부지로 제공하는 면적 × 공공시설등 제공 부지의 용적률)÷공공시설등의 부지 제공 후의 대지면적] 이내</t>
    <phoneticPr fontId="1" type="noConversion"/>
  </si>
  <si>
    <t>공공시설등 제공 부지의 용적률</t>
    <phoneticPr fontId="1" type="noConversion"/>
  </si>
  <si>
    <t>: 공공시설 용적률/사업부지 용적률</t>
    <phoneticPr fontId="1" type="noConversion"/>
  </si>
  <si>
    <t>102타입</t>
    <phoneticPr fontId="1" type="noConversion"/>
  </si>
  <si>
    <t>기전실 면적(지상연면적 4%)</t>
    <phoneticPr fontId="1" type="noConversion"/>
  </si>
  <si>
    <t>주변단지 사례조사</t>
    <phoneticPr fontId="1" type="noConversion"/>
  </si>
  <si>
    <t>년도</t>
    <phoneticPr fontId="1" type="noConversion"/>
  </si>
  <si>
    <t>문수로아테라</t>
    <phoneticPr fontId="1" type="noConversion"/>
  </si>
  <si>
    <t>2025.12.15</t>
    <phoneticPr fontId="1" type="noConversion"/>
  </si>
  <si>
    <t>1.33대</t>
    <phoneticPr fontId="1" type="noConversion"/>
  </si>
  <si>
    <t>세대당 주차대수</t>
    <phoneticPr fontId="1" type="noConversion"/>
  </si>
  <si>
    <t>용적률</t>
    <phoneticPr fontId="1" type="noConversion"/>
  </si>
  <si>
    <t>37층</t>
    <phoneticPr fontId="1" type="noConversion"/>
  </si>
  <si>
    <t>최고 층수</t>
    <phoneticPr fontId="1" type="noConversion"/>
  </si>
  <si>
    <t>문수로 센트레빌</t>
    <phoneticPr fontId="1" type="noConversion"/>
  </si>
  <si>
    <t>2028.03(예정)</t>
    <phoneticPr fontId="1" type="noConversion"/>
  </si>
  <si>
    <t>1.31대</t>
    <phoneticPr fontId="1" type="noConversion"/>
  </si>
  <si>
    <t>368세대</t>
    <phoneticPr fontId="1" type="noConversion"/>
  </si>
  <si>
    <t>402세대</t>
    <phoneticPr fontId="1" type="noConversion"/>
  </si>
  <si>
    <t>35층</t>
    <phoneticPr fontId="1" type="noConversion"/>
  </si>
  <si>
    <t>e편한세상 문수로 
더 스카이</t>
    <phoneticPr fontId="1" type="noConversion"/>
  </si>
  <si>
    <t>2026.10(예정)</t>
    <phoneticPr fontId="1" type="noConversion"/>
  </si>
  <si>
    <t>205세대</t>
    <phoneticPr fontId="1" type="noConversion"/>
  </si>
  <si>
    <t>1.29대</t>
    <phoneticPr fontId="1" type="noConversion"/>
  </si>
  <si>
    <t>힐스테이트 문수로
센트럴</t>
    <phoneticPr fontId="1" type="noConversion"/>
  </si>
  <si>
    <t>2028.06(예정)</t>
    <phoneticPr fontId="1" type="noConversion"/>
  </si>
  <si>
    <t>566세대</t>
    <phoneticPr fontId="1" type="noConversion"/>
  </si>
  <si>
    <t>1.4대</t>
    <phoneticPr fontId="1" type="noConversion"/>
  </si>
  <si>
    <t>46층</t>
    <phoneticPr fontId="1" type="noConversion"/>
  </si>
  <si>
    <t>2013.12.31</t>
    <phoneticPr fontId="1" type="noConversion"/>
  </si>
  <si>
    <t>597세대</t>
    <phoneticPr fontId="1" type="noConversion"/>
  </si>
  <si>
    <t>1.58대</t>
    <phoneticPr fontId="1" type="noConversion"/>
  </si>
  <si>
    <t>24층</t>
    <phoneticPr fontId="1" type="noConversion"/>
  </si>
  <si>
    <t>문수로 아르티스</t>
    <phoneticPr fontId="1" type="noConversion"/>
  </si>
  <si>
    <t>2024.08.26</t>
    <phoneticPr fontId="1" type="noConversion"/>
  </si>
  <si>
    <t>388세대</t>
    <phoneticPr fontId="1" type="noConversion"/>
  </si>
  <si>
    <t>1.42대</t>
    <phoneticPr fontId="1" type="noConversion"/>
  </si>
  <si>
    <t>29층</t>
    <phoneticPr fontId="1" type="noConversion"/>
  </si>
  <si>
    <t>울산대공원 한신더
휴 아파트</t>
    <phoneticPr fontId="1" type="noConversion"/>
  </si>
  <si>
    <t>2025.07.25</t>
    <phoneticPr fontId="1" type="noConversion"/>
  </si>
  <si>
    <t>302세대</t>
    <phoneticPr fontId="1" type="noConversion"/>
  </si>
  <si>
    <t>31층</t>
    <phoneticPr fontId="1" type="noConversion"/>
  </si>
  <si>
    <t>1.52대</t>
    <phoneticPr fontId="1" type="noConversion"/>
  </si>
  <si>
    <t>문수로 2차 아이파크
1단지</t>
    <phoneticPr fontId="1" type="noConversion"/>
  </si>
  <si>
    <t>문수로 2차 아이파크
2단지</t>
    <phoneticPr fontId="1" type="noConversion"/>
  </si>
  <si>
    <t>714대</t>
    <phoneticPr fontId="1" type="noConversion"/>
  </si>
  <si>
    <t>1.46대</t>
    <phoneticPr fontId="1" type="noConversion"/>
  </si>
  <si>
    <t>울산 신정 푸르지오</t>
    <phoneticPr fontId="1" type="noConversion"/>
  </si>
  <si>
    <t>33층</t>
    <phoneticPr fontId="1" type="noConversion"/>
  </si>
  <si>
    <t>1.36대</t>
    <phoneticPr fontId="1" type="noConversion"/>
  </si>
  <si>
    <t>1,280세대</t>
    <phoneticPr fontId="1" type="noConversion"/>
  </si>
  <si>
    <t>옥동 경남 아너스빌</t>
    <phoneticPr fontId="1" type="noConversion"/>
  </si>
  <si>
    <t>20층</t>
    <phoneticPr fontId="1" type="noConversion"/>
  </si>
  <si>
    <t>1.2대</t>
    <phoneticPr fontId="1" type="noConversion"/>
  </si>
  <si>
    <t>2026.08(예정)</t>
    <phoneticPr fontId="1" type="noConversion"/>
  </si>
  <si>
    <t>320세대</t>
    <phoneticPr fontId="1" type="noConversion"/>
  </si>
  <si>
    <r>
      <t xml:space="preserve">78%
</t>
    </r>
    <r>
      <rPr>
        <sz val="10"/>
        <color theme="1"/>
        <rFont val="맑은 고딕"/>
        <family val="3"/>
        <charset val="129"/>
        <scheme val="minor"/>
      </rPr>
      <t>(전용 100이상)</t>
    </r>
    <phoneticPr fontId="1" type="noConversion"/>
  </si>
  <si>
    <t>문수로 대공원
에일린의 뜰</t>
    <phoneticPr fontId="1" type="noConversion"/>
  </si>
  <si>
    <t>384세대</t>
    <phoneticPr fontId="1" type="noConversion"/>
  </si>
  <si>
    <t>1.15대</t>
    <phoneticPr fontId="1" type="noConversion"/>
  </si>
  <si>
    <t>74%/76%</t>
    <phoneticPr fontId="1" type="noConversion"/>
  </si>
  <si>
    <t>75/84</t>
    <phoneticPr fontId="1" type="noConversion"/>
  </si>
  <si>
    <t>25층</t>
    <phoneticPr fontId="1" type="noConversion"/>
  </si>
  <si>
    <t>84/101/110</t>
  </si>
  <si>
    <t>84/101/110</t>
    <phoneticPr fontId="1" type="noConversion"/>
  </si>
  <si>
    <t>태화강 엑소디움
(주상복합)</t>
    <phoneticPr fontId="1" type="noConversion"/>
  </si>
  <si>
    <t>2010.06.30</t>
    <phoneticPr fontId="1" type="noConversion"/>
  </si>
  <si>
    <t>2.1대</t>
    <phoneticPr fontId="1" type="noConversion"/>
  </si>
  <si>
    <t>420세대</t>
    <phoneticPr fontId="1" type="noConversion"/>
  </si>
  <si>
    <t>54층</t>
    <phoneticPr fontId="1" type="noConversion"/>
  </si>
  <si>
    <t>113/128/153</t>
    <phoneticPr fontId="1" type="noConversion"/>
  </si>
  <si>
    <t>마데스타워 울산
(주상복합)</t>
    <phoneticPr fontId="1" type="noConversion"/>
  </si>
  <si>
    <t>2009.01.12</t>
    <phoneticPr fontId="1" type="noConversion"/>
  </si>
  <si>
    <t>396세대</t>
    <phoneticPr fontId="1" type="noConversion"/>
  </si>
  <si>
    <t>84/133</t>
    <phoneticPr fontId="1" type="noConversion"/>
  </si>
  <si>
    <t>75%/76%</t>
    <phoneticPr fontId="1" type="noConversion"/>
  </si>
  <si>
    <t>2.07대</t>
    <phoneticPr fontId="1" type="noConversion"/>
  </si>
  <si>
    <t>번영로 하늘채 라크뷰</t>
    <phoneticPr fontId="1" type="noConversion"/>
  </si>
  <si>
    <t>2027.11(예정)</t>
    <phoneticPr fontId="1" type="noConversion"/>
  </si>
  <si>
    <t>803세대</t>
    <phoneticPr fontId="1" type="noConversion"/>
  </si>
  <si>
    <t>30층</t>
    <phoneticPr fontId="1" type="noConversion"/>
  </si>
  <si>
    <t>59/84/96/110</t>
    <phoneticPr fontId="1" type="noConversion"/>
  </si>
  <si>
    <t>75%/76%/75%/76%</t>
    <phoneticPr fontId="1" type="noConversion"/>
  </si>
  <si>
    <t>1.37대</t>
    <phoneticPr fontId="1" type="noConversion"/>
  </si>
  <si>
    <t>롯데케슬 킹덤</t>
    <phoneticPr fontId="1" type="noConversion"/>
  </si>
  <si>
    <t>2008.06.20</t>
    <phoneticPr fontId="1" type="noConversion"/>
  </si>
  <si>
    <t>3.36대</t>
    <phoneticPr fontId="1" type="noConversion"/>
  </si>
  <si>
    <t>196세대</t>
    <phoneticPr fontId="1" type="noConversion"/>
  </si>
  <si>
    <t>185/216</t>
    <phoneticPr fontId="1" type="noConversion"/>
  </si>
  <si>
    <t>83%/82%</t>
    <phoneticPr fontId="1" type="noConversion"/>
  </si>
  <si>
    <t>■ 설계개요(공동주택)_4,5BL (1단지)</t>
    <phoneticPr fontId="1" type="noConversion"/>
  </si>
  <si>
    <t>사업구역면적</t>
    <phoneticPr fontId="1" type="noConversion"/>
  </si>
  <si>
    <t>기부채납도로면적</t>
    <phoneticPr fontId="1" type="noConversion"/>
  </si>
  <si>
    <t>기존도로면적</t>
    <phoneticPr fontId="1" type="noConversion"/>
  </si>
  <si>
    <t>완화용적률:452.89</t>
    <phoneticPr fontId="1" type="noConversion"/>
  </si>
  <si>
    <t>전체 부대시설</t>
    <phoneticPr fontId="1" type="noConversion"/>
  </si>
  <si>
    <t>■ 설계개요(공동주택)_3BL(2단지)</t>
    <phoneticPr fontId="1" type="noConversion"/>
  </si>
  <si>
    <t>부대시설
복리시설</t>
    <phoneticPr fontId="1" type="noConversion"/>
  </si>
  <si>
    <t>완화용적률 414.89</t>
    <phoneticPr fontId="1" type="noConversion"/>
  </si>
  <si>
    <t>지하3층 / 지상39층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</si>
</sst>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76" formatCode="0,000.00&quot;㎡&quot;"/>
    <numFmt numFmtId="177" formatCode="#,##0.00_ "/>
    <numFmt numFmtId="178" formatCode="000&quot;대&quot;"/>
    <numFmt numFmtId="179" formatCode="000&quot;세대&quot;"/>
    <numFmt numFmtId="180" formatCode="#,###.00&quot;㎡&quot;"/>
    <numFmt numFmtId="181" formatCode="0&quot;타입&quot;"/>
    <numFmt numFmtId="182" formatCode="###&quot;대&quot;"/>
    <numFmt numFmtId="183" formatCode="&quot;세대당&quot;\ 0.0\ &quot;대&quot;"/>
    <numFmt numFmtId="184" formatCode="#,###.00&quot;㎡ 이상&quot;"/>
    <numFmt numFmtId="185" formatCode="#,###.00&quot;ton 이상&quot;"/>
    <numFmt numFmtId="186" formatCode="&quot;세대당&quot;\ #,##0.00\ &quot;평&quot;"/>
    <numFmt numFmtId="187" formatCode="#,###.00&quot;ton&quot;"/>
    <numFmt numFmtId="188" formatCode="&quot;대당&quot;\ #,##0.00\ &quot;㎡&quot;"/>
    <numFmt numFmtId="189" formatCode="#,##0.0000000000_ "/>
    <numFmt numFmtId="190" formatCode="#,##0.000000000_ "/>
    <numFmt numFmtId="191" formatCode="#,##0.0000000_ "/>
    <numFmt numFmtId="192" formatCode="#,##0.0000_ "/>
    <numFmt numFmtId="193" formatCode="0.00&quot;평&quot;"/>
    <numFmt numFmtId="194" formatCode="0.0"/>
    <numFmt numFmtId="195" formatCode="0.000000"/>
    <numFmt numFmtId="196" formatCode="&quot;세대당 &quot;0.00&quot;대&quot;"/>
    <numFmt numFmtId="197" formatCode="&quot;세대당&quot;\ \ 0.00&quot;평&quot;"/>
    <numFmt numFmtId="198" formatCode="0&quot;평형&quot;"/>
    <numFmt numFmtId="199" formatCode="#,###.00&quot;평&quot;"/>
    <numFmt numFmtId="200" formatCode="0.0000%"/>
    <numFmt numFmtId="201" formatCode="&quot;지단 지침에서 최대  &quot;#,##0\ &quot;㎡ 가능&quot;"/>
    <numFmt numFmtId="202" formatCode="&quot;1개소당&quot;\ #,##0.00\ &quot;평&quot;"/>
    <numFmt numFmtId="203" formatCode="0.00_ 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 tint="-0.1499984740745262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5" tint="-0.249977111117893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2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184" fontId="0" fillId="0" borderId="1" xfId="0" applyNumberFormat="1" applyBorder="1" applyAlignment="1">
      <alignment horizontal="center" vertical="center"/>
    </xf>
    <xf numFmtId="184" fontId="0" fillId="0" borderId="15" xfId="0" applyNumberFormat="1" applyBorder="1" applyAlignment="1">
      <alignment horizontal="center" vertical="center"/>
    </xf>
    <xf numFmtId="185" fontId="0" fillId="0" borderId="1" xfId="0" applyNumberFormat="1" applyBorder="1" applyAlignment="1">
      <alignment horizontal="center" vertical="center"/>
    </xf>
    <xf numFmtId="180" fontId="0" fillId="0" borderId="12" xfId="0" applyNumberFormat="1" applyBorder="1" applyAlignment="1">
      <alignment horizontal="center" vertical="center"/>
    </xf>
    <xf numFmtId="182" fontId="0" fillId="0" borderId="12" xfId="0" applyNumberFormat="1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3" fillId="4" borderId="1" xfId="0" applyFont="1" applyFill="1" applyBorder="1">
      <alignment vertical="center"/>
    </xf>
    <xf numFmtId="0" fontId="7" fillId="0" borderId="0" xfId="0" applyFont="1">
      <alignment vertical="center"/>
    </xf>
    <xf numFmtId="178" fontId="3" fillId="6" borderId="1" xfId="0" quotePrefix="1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82" fontId="6" fillId="0" borderId="1" xfId="0" applyNumberFormat="1" applyFont="1" applyBorder="1" applyAlignment="1">
      <alignment horizontal="center" vertical="center"/>
    </xf>
    <xf numFmtId="179" fontId="0" fillId="4" borderId="15" xfId="0" applyNumberFormat="1" applyFill="1" applyBorder="1" applyAlignment="1">
      <alignment horizontal="center" vertical="center"/>
    </xf>
    <xf numFmtId="180" fontId="0" fillId="4" borderId="15" xfId="0" applyNumberFormat="1" applyFill="1" applyBorder="1" applyAlignment="1">
      <alignment horizontal="center" vertical="center"/>
    </xf>
    <xf numFmtId="180" fontId="3" fillId="4" borderId="1" xfId="0" applyNumberFormat="1" applyFont="1" applyFill="1" applyBorder="1" applyAlignment="1">
      <alignment horizontal="center" vertical="center"/>
    </xf>
    <xf numFmtId="180" fontId="3" fillId="4" borderId="12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76" fontId="0" fillId="4" borderId="15" xfId="0" applyNumberFormat="1" applyFill="1" applyBorder="1" applyAlignment="1">
      <alignment horizontal="center" vertical="center"/>
    </xf>
    <xf numFmtId="176" fontId="0" fillId="4" borderId="16" xfId="0" applyNumberFormat="1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84" fontId="0" fillId="0" borderId="27" xfId="0" applyNumberFormat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77" fontId="0" fillId="0" borderId="0" xfId="0" applyNumberFormat="1">
      <alignment vertical="center"/>
    </xf>
    <xf numFmtId="177" fontId="7" fillId="0" borderId="0" xfId="0" applyNumberFormat="1" applyFont="1">
      <alignment vertical="center"/>
    </xf>
    <xf numFmtId="0" fontId="2" fillId="0" borderId="0" xfId="0" applyFont="1">
      <alignment vertical="center"/>
    </xf>
    <xf numFmtId="184" fontId="0" fillId="7" borderId="27" xfId="0" applyNumberFormat="1" applyFill="1" applyBorder="1" applyAlignment="1">
      <alignment horizontal="center" vertical="center"/>
    </xf>
    <xf numFmtId="184" fontId="0" fillId="7" borderId="1" xfId="0" applyNumberFormat="1" applyFill="1" applyBorder="1" applyAlignment="1">
      <alignment horizontal="center" vertical="center"/>
    </xf>
    <xf numFmtId="189" fontId="0" fillId="0" borderId="0" xfId="0" applyNumberFormat="1">
      <alignment vertical="center"/>
    </xf>
    <xf numFmtId="190" fontId="0" fillId="0" borderId="0" xfId="0" applyNumberFormat="1">
      <alignment vertical="center"/>
    </xf>
    <xf numFmtId="0" fontId="4" fillId="0" borderId="0" xfId="0" applyFont="1">
      <alignment vertical="center"/>
    </xf>
    <xf numFmtId="180" fontId="0" fillId="0" borderId="0" xfId="0" applyNumberForma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180" fontId="0" fillId="0" borderId="0" xfId="0" applyNumberFormat="1" applyAlignment="1">
      <alignment horizontal="center" vertical="center"/>
    </xf>
    <xf numFmtId="191" fontId="0" fillId="0" borderId="0" xfId="0" applyNumberFormat="1">
      <alignment vertical="center"/>
    </xf>
    <xf numFmtId="192" fontId="0" fillId="0" borderId="0" xfId="0" applyNumberFormat="1">
      <alignment vertical="center"/>
    </xf>
    <xf numFmtId="193" fontId="0" fillId="0" borderId="1" xfId="0" applyNumberFormat="1" applyBorder="1" applyAlignment="1">
      <alignment horizontal="center" vertical="center"/>
    </xf>
    <xf numFmtId="180" fontId="11" fillId="0" borderId="1" xfId="0" applyNumberFormat="1" applyFont="1" applyBorder="1" applyAlignment="1">
      <alignment horizontal="center" vertical="center"/>
    </xf>
    <xf numFmtId="179" fontId="0" fillId="0" borderId="0" xfId="0" applyNumberFormat="1">
      <alignment vertical="center"/>
    </xf>
    <xf numFmtId="194" fontId="0" fillId="0" borderId="0" xfId="0" applyNumberFormat="1">
      <alignment vertical="center"/>
    </xf>
    <xf numFmtId="195" fontId="0" fillId="0" borderId="0" xfId="0" applyNumberFormat="1">
      <alignment vertical="center"/>
    </xf>
    <xf numFmtId="0" fontId="1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80" fontId="16" fillId="0" borderId="1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197" fontId="17" fillId="0" borderId="0" xfId="0" applyNumberFormat="1" applyFont="1" applyAlignment="1">
      <alignment horizontal="left" vertical="center"/>
    </xf>
    <xf numFmtId="199" fontId="0" fillId="0" borderId="1" xfId="0" applyNumberFormat="1" applyBorder="1" applyAlignment="1">
      <alignment horizontal="center" vertical="center"/>
    </xf>
    <xf numFmtId="0" fontId="0" fillId="0" borderId="35" xfId="0" applyBorder="1">
      <alignment vertical="center"/>
    </xf>
    <xf numFmtId="177" fontId="0" fillId="0" borderId="35" xfId="0" applyNumberFormat="1" applyBorder="1">
      <alignment vertical="center"/>
    </xf>
    <xf numFmtId="180" fontId="0" fillId="0" borderId="35" xfId="0" applyNumberFormat="1" applyBorder="1">
      <alignment vertical="center"/>
    </xf>
    <xf numFmtId="0" fontId="2" fillId="0" borderId="27" xfId="0" applyFont="1" applyBorder="1">
      <alignment vertical="center"/>
    </xf>
    <xf numFmtId="0" fontId="0" fillId="0" borderId="34" xfId="0" applyBorder="1">
      <alignment vertical="center"/>
    </xf>
    <xf numFmtId="193" fontId="0" fillId="0" borderId="35" xfId="0" applyNumberFormat="1" applyBorder="1">
      <alignment vertical="center"/>
    </xf>
    <xf numFmtId="177" fontId="18" fillId="0" borderId="35" xfId="0" applyNumberFormat="1" applyFont="1" applyBorder="1">
      <alignment vertical="center"/>
    </xf>
    <xf numFmtId="0" fontId="18" fillId="0" borderId="27" xfId="0" applyFont="1" applyBorder="1">
      <alignment vertical="center"/>
    </xf>
    <xf numFmtId="0" fontId="19" fillId="4" borderId="31" xfId="0" applyFont="1" applyFill="1" applyBorder="1" applyAlignment="1">
      <alignment horizontal="center" vertical="center" wrapText="1"/>
    </xf>
    <xf numFmtId="14" fontId="8" fillId="0" borderId="0" xfId="0" applyNumberFormat="1" applyFont="1" applyAlignment="1">
      <alignment horizontal="center" wrapText="1"/>
    </xf>
    <xf numFmtId="198" fontId="0" fillId="0" borderId="4" xfId="0" applyNumberFormat="1" applyBorder="1" applyAlignment="1">
      <alignment horizontal="center" vertical="center"/>
    </xf>
    <xf numFmtId="181" fontId="0" fillId="0" borderId="4" xfId="0" applyNumberFormat="1" applyBorder="1" applyAlignment="1">
      <alignment horizontal="center" vertical="center"/>
    </xf>
    <xf numFmtId="0" fontId="4" fillId="8" borderId="0" xfId="0" applyFont="1" applyFill="1">
      <alignment vertical="center"/>
    </xf>
    <xf numFmtId="0" fontId="0" fillId="8" borderId="0" xfId="0" applyFill="1">
      <alignment vertical="center"/>
    </xf>
    <xf numFmtId="0" fontId="0" fillId="8" borderId="0" xfId="0" applyFill="1" applyAlignment="1">
      <alignment horizontal="center" vertical="center"/>
    </xf>
    <xf numFmtId="198" fontId="0" fillId="0" borderId="31" xfId="0" applyNumberFormat="1" applyBorder="1">
      <alignment vertical="center"/>
    </xf>
    <xf numFmtId="181" fontId="0" fillId="0" borderId="31" xfId="0" applyNumberFormat="1" applyBorder="1">
      <alignment vertical="center"/>
    </xf>
    <xf numFmtId="179" fontId="9" fillId="0" borderId="1" xfId="0" applyNumberFormat="1" applyFont="1" applyBorder="1" applyAlignment="1">
      <alignment horizontal="center" vertical="center"/>
    </xf>
    <xf numFmtId="200" fontId="2" fillId="9" borderId="0" xfId="0" applyNumberFormat="1" applyFont="1" applyFill="1" applyAlignment="1">
      <alignment horizontal="left"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180" fontId="8" fillId="0" borderId="27" xfId="0" applyNumberFormat="1" applyFont="1" applyBorder="1" applyAlignment="1">
      <alignment horizontal="center" vertical="center"/>
    </xf>
    <xf numFmtId="180" fontId="0" fillId="0" borderId="29" xfId="0" applyNumberFormat="1" applyBorder="1" applyAlignment="1">
      <alignment horizontal="center" vertical="center"/>
    </xf>
    <xf numFmtId="180" fontId="0" fillId="0" borderId="36" xfId="0" applyNumberFormat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9" fontId="2" fillId="0" borderId="0" xfId="0" applyNumberFormat="1" applyFont="1">
      <alignment vertical="center"/>
    </xf>
    <xf numFmtId="0" fontId="9" fillId="0" borderId="0" xfId="0" applyFont="1">
      <alignment vertical="center"/>
    </xf>
    <xf numFmtId="9" fontId="9" fillId="0" borderId="0" xfId="0" applyNumberFormat="1" applyFont="1">
      <alignment vertical="center"/>
    </xf>
    <xf numFmtId="0" fontId="3" fillId="0" borderId="1" xfId="0" applyFont="1" applyBorder="1" applyAlignment="1">
      <alignment horizontal="center" vertical="center"/>
    </xf>
    <xf numFmtId="180" fontId="3" fillId="0" borderId="0" xfId="0" applyNumberFormat="1" applyFont="1">
      <alignment vertical="center"/>
    </xf>
    <xf numFmtId="0" fontId="0" fillId="0" borderId="1" xfId="0" applyBorder="1">
      <alignment vertical="center"/>
    </xf>
    <xf numFmtId="0" fontId="0" fillId="0" borderId="4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203" fontId="0" fillId="0" borderId="51" xfId="0" applyNumberFormat="1" applyBorder="1" applyAlignment="1">
      <alignment horizontal="center" vertical="center"/>
    </xf>
    <xf numFmtId="203" fontId="3" fillId="0" borderId="51" xfId="0" applyNumberFormat="1" applyFont="1" applyBorder="1" applyAlignment="1">
      <alignment horizontal="center" vertical="center"/>
    </xf>
    <xf numFmtId="0" fontId="24" fillId="0" borderId="0" xfId="0" applyFont="1">
      <alignment vertical="center"/>
    </xf>
    <xf numFmtId="203" fontId="20" fillId="0" borderId="52" xfId="0" applyNumberFormat="1" applyFont="1" applyBorder="1" applyAlignment="1">
      <alignment horizontal="center" vertical="center"/>
    </xf>
    <xf numFmtId="203" fontId="2" fillId="0" borderId="5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3" fillId="11" borderId="15" xfId="0" applyFont="1" applyFill="1" applyBorder="1" applyAlignment="1">
      <alignment horizontal="center" vertical="center"/>
    </xf>
    <xf numFmtId="184" fontId="0" fillId="11" borderId="15" xfId="0" applyNumberFormat="1" applyFill="1" applyBorder="1" applyAlignment="1">
      <alignment horizontal="center" vertical="center"/>
    </xf>
    <xf numFmtId="180" fontId="0" fillId="0" borderId="37" xfId="0" applyNumberForma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180" fontId="21" fillId="11" borderId="37" xfId="0" applyNumberFormat="1" applyFont="1" applyFill="1" applyBorder="1" applyAlignment="1">
      <alignment horizontal="center" vertical="center"/>
    </xf>
    <xf numFmtId="180" fontId="21" fillId="11" borderId="36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/>
    </xf>
    <xf numFmtId="179" fontId="3" fillId="7" borderId="15" xfId="0" applyNumberFormat="1" applyFont="1" applyFill="1" applyBorder="1" applyAlignment="1">
      <alignment horizontal="center" vertical="center"/>
    </xf>
    <xf numFmtId="10" fontId="3" fillId="7" borderId="15" xfId="0" applyNumberFormat="1" applyFont="1" applyFill="1" applyBorder="1" applyAlignment="1">
      <alignment horizontal="center" vertical="center"/>
    </xf>
    <xf numFmtId="176" fontId="3" fillId="7" borderId="15" xfId="0" applyNumberFormat="1" applyFont="1" applyFill="1" applyBorder="1" applyAlignment="1">
      <alignment horizontal="center" vertical="center"/>
    </xf>
    <xf numFmtId="180" fontId="3" fillId="7" borderId="15" xfId="0" applyNumberFormat="1" applyFont="1" applyFill="1" applyBorder="1" applyAlignment="1">
      <alignment horizontal="center" vertical="center"/>
    </xf>
    <xf numFmtId="199" fontId="3" fillId="7" borderId="15" xfId="0" applyNumberFormat="1" applyFont="1" applyFill="1" applyBorder="1" applyAlignment="1">
      <alignment horizontal="center" vertical="center"/>
    </xf>
    <xf numFmtId="10" fontId="3" fillId="7" borderId="16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82" fontId="0" fillId="6" borderId="2" xfId="0" applyNumberFormat="1" applyFill="1" applyBorder="1" applyAlignment="1">
      <alignment horizontal="center" vertical="center"/>
    </xf>
    <xf numFmtId="182" fontId="0" fillId="6" borderId="4" xfId="0" applyNumberForma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96" fontId="9" fillId="0" borderId="2" xfId="0" applyNumberFormat="1" applyFont="1" applyBorder="1" applyAlignment="1">
      <alignment horizontal="center" vertical="center"/>
    </xf>
    <xf numFmtId="196" fontId="9" fillId="0" borderId="4" xfId="0" applyNumberFormat="1" applyFon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180" fontId="3" fillId="0" borderId="2" xfId="0" applyNumberFormat="1" applyFont="1" applyBorder="1" applyAlignment="1">
      <alignment horizontal="center" vertical="center"/>
    </xf>
    <xf numFmtId="180" fontId="3" fillId="0" borderId="3" xfId="0" applyNumberFormat="1" applyFont="1" applyBorder="1" applyAlignment="1">
      <alignment horizontal="center" vertical="center"/>
    </xf>
    <xf numFmtId="180" fontId="3" fillId="0" borderId="13" xfId="0" applyNumberFormat="1" applyFont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183" fontId="9" fillId="5" borderId="2" xfId="0" applyNumberFormat="1" applyFont="1" applyFill="1" applyBorder="1" applyAlignment="1">
      <alignment horizontal="center" vertical="center"/>
    </xf>
    <xf numFmtId="183" fontId="9" fillId="5" borderId="13" xfId="0" applyNumberFormat="1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182" fontId="0" fillId="0" borderId="2" xfId="0" applyNumberFormat="1" applyBorder="1" applyAlignment="1">
      <alignment horizontal="center" vertical="center"/>
    </xf>
    <xf numFmtId="180" fontId="25" fillId="0" borderId="2" xfId="0" applyNumberFormat="1" applyFont="1" applyBorder="1" applyAlignment="1">
      <alignment horizontal="center" vertical="center"/>
    </xf>
    <xf numFmtId="180" fontId="25" fillId="0" borderId="4" xfId="0" applyNumberFormat="1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178" fontId="0" fillId="6" borderId="2" xfId="0" applyNumberFormat="1" applyFill="1" applyBorder="1" applyAlignment="1">
      <alignment horizontal="center" vertical="center"/>
    </xf>
    <xf numFmtId="178" fontId="0" fillId="6" borderId="4" xfId="0" applyNumberForma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87" fontId="0" fillId="0" borderId="2" xfId="0" applyNumberFormat="1" applyBorder="1" applyAlignment="1">
      <alignment horizontal="center" vertical="center"/>
    </xf>
    <xf numFmtId="187" fontId="0" fillId="0" borderId="4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80" fontId="0" fillId="0" borderId="17" xfId="0" applyNumberFormat="1" applyBorder="1" applyAlignment="1">
      <alignment horizontal="center" vertical="center"/>
    </xf>
    <xf numFmtId="180" fontId="0" fillId="0" borderId="18" xfId="0" applyNumberFormat="1" applyBorder="1" applyAlignment="1">
      <alignment horizontal="center" vertical="center"/>
    </xf>
    <xf numFmtId="201" fontId="16" fillId="0" borderId="17" xfId="0" applyNumberFormat="1" applyFont="1" applyBorder="1" applyAlignment="1">
      <alignment horizontal="center" vertical="center"/>
    </xf>
    <xf numFmtId="201" fontId="16" fillId="0" borderId="26" xfId="0" applyNumberFormat="1" applyFon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180" fontId="0" fillId="0" borderId="4" xfId="0" applyNumberFormat="1" applyBorder="1" applyAlignment="1">
      <alignment horizontal="center" vertical="center"/>
    </xf>
    <xf numFmtId="188" fontId="14" fillId="4" borderId="3" xfId="0" applyNumberFormat="1" applyFont="1" applyFill="1" applyBorder="1" applyAlignment="1">
      <alignment horizontal="center" vertical="center"/>
    </xf>
    <xf numFmtId="188" fontId="14" fillId="4" borderId="4" xfId="0" applyNumberFormat="1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7" borderId="27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/>
    </xf>
    <xf numFmtId="177" fontId="0" fillId="7" borderId="6" xfId="0" applyNumberForma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9" fillId="7" borderId="32" xfId="0" applyFont="1" applyFill="1" applyBorder="1" applyAlignment="1">
      <alignment horizontal="center" vertical="center"/>
    </xf>
    <xf numFmtId="0" fontId="9" fillId="7" borderId="33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24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80" fontId="0" fillId="7" borderId="2" xfId="0" applyNumberFormat="1" applyFill="1" applyBorder="1" applyAlignment="1">
      <alignment horizontal="center" vertical="center"/>
    </xf>
    <xf numFmtId="180" fontId="0" fillId="7" borderId="4" xfId="0" applyNumberFormat="1" applyFill="1" applyBorder="1" applyAlignment="1">
      <alignment horizontal="center" vertical="center"/>
    </xf>
    <xf numFmtId="202" fontId="3" fillId="4" borderId="3" xfId="0" applyNumberFormat="1" applyFont="1" applyFill="1" applyBorder="1" applyAlignment="1">
      <alignment horizontal="center" vertical="center"/>
    </xf>
    <xf numFmtId="202" fontId="3" fillId="4" borderId="4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186" fontId="6" fillId="0" borderId="2" xfId="0" applyNumberFormat="1" applyFont="1" applyBorder="1" applyAlignment="1">
      <alignment horizontal="center" vertical="center"/>
    </xf>
    <xf numFmtId="186" fontId="6" fillId="0" borderId="13" xfId="0" applyNumberFormat="1" applyFont="1" applyBorder="1" applyAlignment="1">
      <alignment horizontal="center" vertical="center"/>
    </xf>
    <xf numFmtId="186" fontId="9" fillId="0" borderId="2" xfId="0" applyNumberFormat="1" applyFont="1" applyBorder="1" applyAlignment="1">
      <alignment horizontal="center" vertical="center"/>
    </xf>
    <xf numFmtId="186" fontId="9" fillId="0" borderId="13" xfId="0" applyNumberFormat="1" applyFont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180" fontId="0" fillId="11" borderId="17" xfId="0" applyNumberFormat="1" applyFill="1" applyBorder="1" applyAlignment="1">
      <alignment horizontal="center" vertical="center"/>
    </xf>
    <xf numFmtId="180" fontId="0" fillId="11" borderId="18" xfId="0" applyNumberFormat="1" applyFill="1" applyBorder="1" applyAlignment="1">
      <alignment horizontal="center" vertical="center"/>
    </xf>
    <xf numFmtId="197" fontId="0" fillId="11" borderId="17" xfId="0" applyNumberFormat="1" applyFill="1" applyBorder="1" applyAlignment="1">
      <alignment horizontal="center" vertical="center"/>
    </xf>
    <xf numFmtId="197" fontId="0" fillId="11" borderId="26" xfId="0" applyNumberFormat="1" applyFill="1" applyBorder="1" applyAlignment="1">
      <alignment horizontal="center" vertical="center"/>
    </xf>
    <xf numFmtId="0" fontId="3" fillId="11" borderId="38" xfId="0" applyFont="1" applyFill="1" applyBorder="1" applyAlignment="1">
      <alignment horizontal="center" vertical="center"/>
    </xf>
    <xf numFmtId="0" fontId="3" fillId="11" borderId="39" xfId="0" applyFont="1" applyFill="1" applyBorder="1" applyAlignment="1">
      <alignment horizontal="center" vertical="center"/>
    </xf>
    <xf numFmtId="0" fontId="3" fillId="11" borderId="40" xfId="0" applyFont="1" applyFill="1" applyBorder="1" applyAlignment="1">
      <alignment horizontal="center" vertical="center"/>
    </xf>
    <xf numFmtId="0" fontId="3" fillId="12" borderId="27" xfId="0" applyFont="1" applyFill="1" applyBorder="1" applyAlignment="1">
      <alignment horizontal="center" vertical="center"/>
    </xf>
    <xf numFmtId="0" fontId="3" fillId="13" borderId="27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178" fontId="2" fillId="5" borderId="17" xfId="0" applyNumberFormat="1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80" fontId="0" fillId="0" borderId="6" xfId="0" applyNumberFormat="1" applyBorder="1" applyAlignment="1">
      <alignment horizontal="center" vertical="center"/>
    </xf>
    <xf numFmtId="180" fontId="0" fillId="0" borderId="7" xfId="0" applyNumberFormat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78" fontId="2" fillId="5" borderId="2" xfId="0" applyNumberFormat="1" applyFont="1" applyFill="1" applyBorder="1" applyAlignment="1">
      <alignment horizontal="center" vertical="center"/>
    </xf>
    <xf numFmtId="178" fontId="2" fillId="5" borderId="3" xfId="0" applyNumberFormat="1" applyFont="1" applyFill="1" applyBorder="1" applyAlignment="1">
      <alignment horizontal="center" vertical="center"/>
    </xf>
    <xf numFmtId="178" fontId="2" fillId="5" borderId="4" xfId="0" applyNumberFormat="1" applyFont="1" applyFill="1" applyBorder="1" applyAlignment="1">
      <alignment horizontal="center" vertical="center"/>
    </xf>
    <xf numFmtId="10" fontId="2" fillId="0" borderId="17" xfId="0" applyNumberFormat="1" applyFont="1" applyBorder="1" applyAlignment="1">
      <alignment horizontal="center" vertical="center"/>
    </xf>
    <xf numFmtId="10" fontId="2" fillId="0" borderId="18" xfId="0" applyNumberFormat="1" applyFon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0" fontId="0" fillId="4" borderId="17" xfId="0" applyNumberForma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2" fillId="4" borderId="17" xfId="0" quotePrefix="1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176" fontId="3" fillId="7" borderId="17" xfId="0" applyNumberFormat="1" applyFont="1" applyFill="1" applyBorder="1" applyAlignment="1">
      <alignment horizontal="center" vertical="center"/>
    </xf>
    <xf numFmtId="176" fontId="3" fillId="7" borderId="18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86" fontId="0" fillId="11" borderId="17" xfId="0" applyNumberFormat="1" applyFill="1" applyBorder="1" applyAlignment="1">
      <alignment horizontal="center" vertical="center"/>
    </xf>
    <xf numFmtId="186" fontId="0" fillId="11" borderId="26" xfId="0" applyNumberForma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42" xfId="0" applyNumberFormat="1" applyBorder="1" applyAlignment="1">
      <alignment horizontal="center" vertical="center"/>
    </xf>
    <xf numFmtId="176" fontId="0" fillId="0" borderId="46" xfId="0" applyNumberFormat="1" applyBorder="1" applyAlignment="1">
      <alignment horizontal="center" vertical="center"/>
    </xf>
    <xf numFmtId="176" fontId="0" fillId="0" borderId="44" xfId="0" applyNumberForma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0" fillId="0" borderId="45" xfId="0" applyNumberFormat="1" applyBorder="1" applyAlignment="1">
      <alignment horizontal="center" vertical="center"/>
    </xf>
    <xf numFmtId="176" fontId="0" fillId="0" borderId="33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EDF7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4734-27BC-47C1-A62A-216D0083E6D3}">
  <sheetPr>
    <pageSetUpPr fitToPage="1"/>
  </sheetPr>
  <dimension ref="B2:V73"/>
  <sheetViews>
    <sheetView view="pageBreakPreview" topLeftCell="A6" zoomScale="85" zoomScaleNormal="100" zoomScaleSheetLayoutView="85" workbookViewId="0">
      <selection activeCell="H25" sqref="H25"/>
    </sheetView>
  </sheetViews>
  <sheetFormatPr defaultRowHeight="16.5" x14ac:dyDescent="0.3"/>
  <cols>
    <col min="2" max="2" width="9.625" customWidth="1"/>
    <col min="3" max="3" width="12.625" customWidth="1"/>
    <col min="4" max="4" width="15" customWidth="1"/>
    <col min="5" max="6" width="10.625" customWidth="1"/>
    <col min="7" max="9" width="15.625" customWidth="1"/>
    <col min="10" max="10" width="9" customWidth="1"/>
    <col min="11" max="11" width="15.625" customWidth="1"/>
    <col min="12" max="12" width="20.625" customWidth="1"/>
    <col min="13" max="17" width="15.625" customWidth="1"/>
    <col min="18" max="18" width="16.875" customWidth="1"/>
    <col min="19" max="19" width="20.625" customWidth="1"/>
    <col min="20" max="20" width="22.75" customWidth="1"/>
    <col min="22" max="22" width="24" bestFit="1" customWidth="1"/>
  </cols>
  <sheetData>
    <row r="2" spans="2:22" x14ac:dyDescent="0.3">
      <c r="B2" s="62"/>
    </row>
    <row r="3" spans="2:22" ht="24.95" customHeight="1" x14ac:dyDescent="0.3">
      <c r="B3" s="78" t="s">
        <v>232</v>
      </c>
      <c r="C3" s="78"/>
      <c r="D3" s="79"/>
      <c r="E3" s="79"/>
      <c r="F3" s="80"/>
      <c r="G3" s="80"/>
      <c r="H3" s="80"/>
      <c r="I3" s="80"/>
      <c r="K3" s="47" t="s">
        <v>93</v>
      </c>
      <c r="L3" s="47"/>
      <c r="T3" s="75"/>
    </row>
    <row r="4" spans="2:22" ht="9.9499999999999993" customHeight="1" thickBot="1" x14ac:dyDescent="0.35">
      <c r="B4" s="19"/>
      <c r="C4" s="1"/>
      <c r="D4" s="1"/>
      <c r="E4" s="1"/>
      <c r="F4" s="1"/>
      <c r="G4" s="1"/>
      <c r="H4" s="1"/>
      <c r="I4" s="1"/>
    </row>
    <row r="5" spans="2:22" ht="24.95" customHeight="1" x14ac:dyDescent="0.3">
      <c r="B5" s="139" t="s">
        <v>0</v>
      </c>
      <c r="C5" s="140"/>
      <c r="D5" s="140"/>
      <c r="E5" s="140"/>
      <c r="F5" s="140"/>
      <c r="G5" s="141" t="s">
        <v>97</v>
      </c>
      <c r="H5" s="141"/>
      <c r="I5" s="142"/>
      <c r="K5" s="139" t="s">
        <v>27</v>
      </c>
      <c r="L5" s="140"/>
      <c r="M5" s="143" t="s">
        <v>28</v>
      </c>
      <c r="N5" s="144"/>
      <c r="O5" s="145"/>
      <c r="P5" s="9" t="s">
        <v>29</v>
      </c>
      <c r="Q5" s="140" t="s">
        <v>30</v>
      </c>
      <c r="R5" s="140"/>
      <c r="S5" s="143" t="s">
        <v>31</v>
      </c>
      <c r="T5" s="146"/>
      <c r="V5">
        <f>G10*1.95-G33</f>
        <v>-65212.04598930481</v>
      </c>
    </row>
    <row r="6" spans="2:22" ht="24.95" customHeight="1" x14ac:dyDescent="0.3">
      <c r="B6" s="163" t="s">
        <v>1</v>
      </c>
      <c r="C6" s="164"/>
      <c r="D6" s="164"/>
      <c r="E6" s="164"/>
      <c r="F6" s="164"/>
      <c r="G6" s="165" t="s">
        <v>98</v>
      </c>
      <c r="H6" s="165"/>
      <c r="I6" s="166"/>
      <c r="K6" s="167" t="s">
        <v>32</v>
      </c>
      <c r="L6" s="168"/>
      <c r="M6" s="152" t="s">
        <v>36</v>
      </c>
      <c r="N6" s="153"/>
      <c r="O6" s="169"/>
      <c r="P6" s="2" t="s">
        <v>37</v>
      </c>
      <c r="Q6" s="170" t="s">
        <v>38</v>
      </c>
      <c r="R6" s="170"/>
      <c r="S6" s="152" t="s">
        <v>39</v>
      </c>
      <c r="T6" s="154"/>
    </row>
    <row r="7" spans="2:22" ht="24.95" customHeight="1" x14ac:dyDescent="0.3">
      <c r="B7" s="163" t="s">
        <v>2</v>
      </c>
      <c r="C7" s="164"/>
      <c r="D7" s="164"/>
      <c r="E7" s="164"/>
      <c r="F7" s="164"/>
      <c r="G7" s="165" t="s">
        <v>116</v>
      </c>
      <c r="H7" s="165"/>
      <c r="I7" s="166"/>
      <c r="K7" s="167" t="s">
        <v>33</v>
      </c>
      <c r="L7" s="168"/>
      <c r="M7" s="170" t="s">
        <v>8</v>
      </c>
      <c r="N7" s="152" t="s">
        <v>34</v>
      </c>
      <c r="O7" s="169"/>
      <c r="P7" s="3">
        <f>(E45*G45)/85</f>
        <v>0</v>
      </c>
      <c r="Q7" s="173"/>
      <c r="R7" s="174"/>
      <c r="S7" s="208" t="s">
        <v>73</v>
      </c>
      <c r="T7" s="209"/>
    </row>
    <row r="8" spans="2:22" ht="24.95" customHeight="1" x14ac:dyDescent="0.3">
      <c r="B8" s="188" t="s">
        <v>3</v>
      </c>
      <c r="C8" s="183" t="s">
        <v>112</v>
      </c>
      <c r="D8" s="180" t="s">
        <v>113</v>
      </c>
      <c r="E8" s="181"/>
      <c r="F8" s="182"/>
      <c r="G8" s="212">
        <v>15929</v>
      </c>
      <c r="H8" s="213"/>
      <c r="I8" s="7" t="str">
        <f>TEXT(G8*0.3025,"(0,000.00 평)")</f>
        <v>(4,818.52 평)</v>
      </c>
      <c r="K8" s="167"/>
      <c r="L8" s="168"/>
      <c r="M8" s="170"/>
      <c r="N8" s="152" t="s">
        <v>35</v>
      </c>
      <c r="O8" s="169"/>
      <c r="P8" s="3">
        <f>(E47*G47)/70</f>
        <v>267.774</v>
      </c>
      <c r="Q8" s="173"/>
      <c r="R8" s="174"/>
      <c r="S8" s="210"/>
      <c r="T8" s="211"/>
    </row>
    <row r="9" spans="2:22" ht="24.95" customHeight="1" x14ac:dyDescent="0.3">
      <c r="B9" s="189"/>
      <c r="C9" s="184"/>
      <c r="D9" s="180" t="s">
        <v>234</v>
      </c>
      <c r="E9" s="181"/>
      <c r="F9" s="182"/>
      <c r="G9" s="212">
        <v>3652</v>
      </c>
      <c r="H9" s="213"/>
      <c r="I9" s="7" t="str">
        <f>TEXT(G9*0.3025,"(0,000.00 평)")</f>
        <v>(1,104.73 평)</v>
      </c>
      <c r="K9" s="167"/>
      <c r="L9" s="168"/>
      <c r="M9" s="170"/>
      <c r="N9" s="171">
        <f>P9/E48</f>
        <v>1.3</v>
      </c>
      <c r="O9" s="172"/>
      <c r="P9" s="3">
        <f>E48*1.3</f>
        <v>767</v>
      </c>
      <c r="Q9" s="173"/>
      <c r="R9" s="174"/>
      <c r="S9" s="158" t="s">
        <v>80</v>
      </c>
      <c r="T9" s="159"/>
    </row>
    <row r="10" spans="2:22" ht="24.95" customHeight="1" x14ac:dyDescent="0.3">
      <c r="B10" s="189"/>
      <c r="C10" s="160" t="s">
        <v>235</v>
      </c>
      <c r="D10" s="161"/>
      <c r="E10" s="161"/>
      <c r="F10" s="162"/>
      <c r="G10" s="195">
        <v>3536</v>
      </c>
      <c r="H10" s="196"/>
      <c r="I10" s="7" t="str">
        <f>TEXT(G10*0.3025,"(0,000.00 평)")</f>
        <v>(1,069.64 평)</v>
      </c>
      <c r="K10" s="167"/>
      <c r="L10" s="168"/>
      <c r="M10" s="170"/>
      <c r="N10" s="197" t="s">
        <v>82</v>
      </c>
      <c r="O10" s="198"/>
      <c r="P10" s="23" t="s">
        <v>83</v>
      </c>
      <c r="Q10" s="199">
        <f>P14-(Q11+Q12+Q13)</f>
        <v>475.54</v>
      </c>
      <c r="R10" s="200"/>
      <c r="S10" s="201"/>
      <c r="T10" s="202"/>
    </row>
    <row r="11" spans="2:22" ht="24.95" customHeight="1" x14ac:dyDescent="0.3">
      <c r="B11" s="190"/>
      <c r="C11" s="185" t="s">
        <v>233</v>
      </c>
      <c r="D11" s="186"/>
      <c r="E11" s="186"/>
      <c r="F11" s="187"/>
      <c r="G11" s="177">
        <f>G10+G9+G8</f>
        <v>23117</v>
      </c>
      <c r="H11" s="178"/>
      <c r="I11" s="179"/>
      <c r="K11" s="167"/>
      <c r="L11" s="168"/>
      <c r="M11" s="170"/>
      <c r="N11" s="147" t="s">
        <v>40</v>
      </c>
      <c r="O11" s="155"/>
      <c r="P11" s="24" t="s">
        <v>77</v>
      </c>
      <c r="Q11" s="156">
        <f>P14*0.3</f>
        <v>230.1</v>
      </c>
      <c r="R11" s="157"/>
      <c r="S11" s="147"/>
      <c r="T11" s="148"/>
    </row>
    <row r="12" spans="2:22" ht="24.95" customHeight="1" x14ac:dyDescent="0.3">
      <c r="B12" s="149" t="s">
        <v>5</v>
      </c>
      <c r="C12" s="150"/>
      <c r="D12" s="150"/>
      <c r="E12" s="150"/>
      <c r="F12" s="151"/>
      <c r="G12" s="152" t="s">
        <v>71</v>
      </c>
      <c r="H12" s="153"/>
      <c r="I12" s="154"/>
      <c r="K12" s="167"/>
      <c r="L12" s="168"/>
      <c r="M12" s="170"/>
      <c r="N12" s="147" t="s">
        <v>41</v>
      </c>
      <c r="O12" s="155"/>
      <c r="P12" s="24" t="s">
        <v>78</v>
      </c>
      <c r="Q12" s="156">
        <f>P14*0.05</f>
        <v>38.35</v>
      </c>
      <c r="R12" s="157"/>
      <c r="S12" s="147"/>
      <c r="T12" s="148"/>
    </row>
    <row r="13" spans="2:22" ht="24.95" customHeight="1" thickBot="1" x14ac:dyDescent="0.35">
      <c r="B13" s="203" t="s">
        <v>4</v>
      </c>
      <c r="C13" s="204"/>
      <c r="D13" s="204"/>
      <c r="E13" s="204"/>
      <c r="F13" s="204"/>
      <c r="G13" s="205" t="s">
        <v>241</v>
      </c>
      <c r="H13" s="206"/>
      <c r="I13" s="207"/>
      <c r="K13" s="167"/>
      <c r="L13" s="168"/>
      <c r="M13" s="170"/>
      <c r="N13" s="147" t="s">
        <v>42</v>
      </c>
      <c r="O13" s="155"/>
      <c r="P13" s="24" t="s">
        <v>79</v>
      </c>
      <c r="Q13" s="156">
        <f>P14*0.03</f>
        <v>23.009999999999998</v>
      </c>
      <c r="R13" s="157"/>
      <c r="S13" s="147"/>
      <c r="T13" s="148"/>
      <c r="V13" s="1"/>
    </row>
    <row r="14" spans="2:22" ht="24.95" customHeight="1" x14ac:dyDescent="0.3">
      <c r="B14" s="139" t="s">
        <v>6</v>
      </c>
      <c r="C14" s="283" t="s">
        <v>7</v>
      </c>
      <c r="D14" s="283"/>
      <c r="E14" s="283"/>
      <c r="F14" s="283"/>
      <c r="G14" s="92" t="s">
        <v>24</v>
      </c>
      <c r="H14" s="92" t="s">
        <v>25</v>
      </c>
      <c r="I14" s="93" t="s">
        <v>26</v>
      </c>
      <c r="K14" s="167"/>
      <c r="L14" s="168"/>
      <c r="M14" s="170"/>
      <c r="N14" s="284" t="s">
        <v>43</v>
      </c>
      <c r="O14" s="285"/>
      <c r="P14" s="286">
        <f>ROUNDUP(P9,0)</f>
        <v>767</v>
      </c>
      <c r="Q14" s="287"/>
      <c r="R14" s="288"/>
      <c r="S14" s="191">
        <f>P14/E48</f>
        <v>1.3</v>
      </c>
      <c r="T14" s="192"/>
    </row>
    <row r="15" spans="2:22" ht="24.95" customHeight="1" thickBot="1" x14ac:dyDescent="0.35">
      <c r="B15" s="163"/>
      <c r="C15" s="193" t="s">
        <v>8</v>
      </c>
      <c r="D15" s="193"/>
      <c r="E15" s="193"/>
      <c r="F15" s="193"/>
      <c r="G15" s="126">
        <f>L48</f>
        <v>71417.245989304807</v>
      </c>
      <c r="H15" s="126"/>
      <c r="I15" s="91">
        <f>G15+H15</f>
        <v>71417.245989304807</v>
      </c>
      <c r="K15" s="167"/>
      <c r="L15" s="168"/>
      <c r="M15" s="2" t="s">
        <v>44</v>
      </c>
      <c r="N15" s="152" t="s">
        <v>45</v>
      </c>
      <c r="O15" s="169"/>
      <c r="P15" s="25">
        <f>I30/134</f>
        <v>2.6865671641791047</v>
      </c>
      <c r="Q15" s="194">
        <v>5</v>
      </c>
      <c r="R15" s="169"/>
      <c r="S15" s="152"/>
      <c r="T15" s="154"/>
      <c r="V15" s="70"/>
    </row>
    <row r="16" spans="2:22" ht="24.95" customHeight="1" thickTop="1" thickBot="1" x14ac:dyDescent="0.35">
      <c r="B16" s="163"/>
      <c r="C16" s="261" t="s">
        <v>239</v>
      </c>
      <c r="D16" s="264" t="s">
        <v>9</v>
      </c>
      <c r="E16" s="265"/>
      <c r="F16" s="266"/>
      <c r="G16" s="89">
        <v>150</v>
      </c>
      <c r="H16" s="89"/>
      <c r="I16" s="90">
        <f t="shared" ref="I16:I31" si="0">G16+H16</f>
        <v>150</v>
      </c>
      <c r="K16" s="175"/>
      <c r="L16" s="176"/>
      <c r="M16" s="267" t="s">
        <v>26</v>
      </c>
      <c r="N16" s="268"/>
      <c r="O16" s="269"/>
      <c r="P16" s="270">
        <f>P14+Q15</f>
        <v>772</v>
      </c>
      <c r="Q16" s="271"/>
      <c r="R16" s="272"/>
      <c r="S16" s="273"/>
      <c r="T16" s="274"/>
      <c r="V16" s="71"/>
    </row>
    <row r="17" spans="2:22" ht="24.95" customHeight="1" x14ac:dyDescent="0.3">
      <c r="B17" s="163"/>
      <c r="C17" s="262"/>
      <c r="D17" s="214" t="s">
        <v>10</v>
      </c>
      <c r="E17" s="215"/>
      <c r="F17" s="216"/>
      <c r="G17" s="37">
        <v>150</v>
      </c>
      <c r="H17" s="37"/>
      <c r="I17" s="16">
        <f t="shared" si="0"/>
        <v>150</v>
      </c>
      <c r="K17" s="228" t="s">
        <v>9</v>
      </c>
      <c r="L17" s="184"/>
      <c r="M17" s="210" t="s">
        <v>74</v>
      </c>
      <c r="N17" s="275"/>
      <c r="O17" s="276"/>
      <c r="P17" s="35">
        <f>10+(E48-50)*0.05</f>
        <v>37</v>
      </c>
      <c r="Q17" s="277">
        <f>I16</f>
        <v>150</v>
      </c>
      <c r="R17" s="278"/>
      <c r="S17" s="210"/>
      <c r="T17" s="211"/>
      <c r="V17" s="66"/>
    </row>
    <row r="18" spans="2:22" ht="24.95" customHeight="1" x14ac:dyDescent="0.3">
      <c r="B18" s="163"/>
      <c r="C18" s="262"/>
      <c r="D18" s="214" t="s">
        <v>11</v>
      </c>
      <c r="E18" s="215"/>
      <c r="F18" s="216"/>
      <c r="G18" s="37">
        <v>260</v>
      </c>
      <c r="H18" s="37"/>
      <c r="I18" s="16">
        <f t="shared" si="0"/>
        <v>260</v>
      </c>
      <c r="K18" s="167" t="s">
        <v>46</v>
      </c>
      <c r="L18" s="168"/>
      <c r="M18" s="152" t="s">
        <v>75</v>
      </c>
      <c r="N18" s="153"/>
      <c r="O18" s="169"/>
      <c r="P18" s="13">
        <f>G10*0.3</f>
        <v>1060.8</v>
      </c>
      <c r="Q18" s="224">
        <f>P18</f>
        <v>1060.8</v>
      </c>
      <c r="R18" s="225"/>
      <c r="S18" s="152"/>
      <c r="T18" s="154"/>
      <c r="V18" s="67"/>
    </row>
    <row r="19" spans="2:22" ht="24.95" customHeight="1" x14ac:dyDescent="0.3">
      <c r="B19" s="163"/>
      <c r="C19" s="262"/>
      <c r="D19" s="214" t="s">
        <v>12</v>
      </c>
      <c r="E19" s="215"/>
      <c r="F19" s="216"/>
      <c r="G19" s="37">
        <v>100</v>
      </c>
      <c r="H19" s="37"/>
      <c r="I19" s="16">
        <f t="shared" si="0"/>
        <v>100</v>
      </c>
      <c r="K19" s="167" t="s">
        <v>47</v>
      </c>
      <c r="L19" s="168"/>
      <c r="M19" s="152" t="s">
        <v>76</v>
      </c>
      <c r="N19" s="153"/>
      <c r="O19" s="169"/>
      <c r="P19" s="15">
        <f>E48*0.5</f>
        <v>295</v>
      </c>
      <c r="Q19" s="217">
        <v>0</v>
      </c>
      <c r="R19" s="218"/>
      <c r="S19" s="152"/>
      <c r="T19" s="154"/>
      <c r="V19" s="66"/>
    </row>
    <row r="20" spans="2:22" ht="24.95" customHeight="1" thickBot="1" x14ac:dyDescent="0.35">
      <c r="B20" s="163"/>
      <c r="C20" s="262"/>
      <c r="D20" s="214" t="s">
        <v>13</v>
      </c>
      <c r="E20" s="215"/>
      <c r="F20" s="216"/>
      <c r="G20" s="37"/>
      <c r="H20" s="37">
        <v>90</v>
      </c>
      <c r="I20" s="16">
        <f t="shared" si="0"/>
        <v>90</v>
      </c>
      <c r="K20" s="175" t="s">
        <v>44</v>
      </c>
      <c r="L20" s="176"/>
      <c r="M20" s="205"/>
      <c r="N20" s="206"/>
      <c r="O20" s="219"/>
      <c r="P20" s="14"/>
      <c r="Q20" s="220">
        <f>I30</f>
        <v>360</v>
      </c>
      <c r="R20" s="221"/>
      <c r="S20" s="222"/>
      <c r="T20" s="223"/>
      <c r="V20" s="68"/>
    </row>
    <row r="21" spans="2:22" ht="24.95" customHeight="1" x14ac:dyDescent="0.3">
      <c r="B21" s="163"/>
      <c r="C21" s="262"/>
      <c r="D21" s="214" t="s">
        <v>94</v>
      </c>
      <c r="E21" s="215"/>
      <c r="F21" s="216"/>
      <c r="G21" s="37"/>
      <c r="H21" s="37">
        <v>950</v>
      </c>
      <c r="I21" s="16">
        <f t="shared" si="0"/>
        <v>950</v>
      </c>
      <c r="K21" s="228" t="s">
        <v>14</v>
      </c>
      <c r="L21" s="229" t="s">
        <v>57</v>
      </c>
      <c r="M21" s="231" t="s">
        <v>58</v>
      </c>
      <c r="N21" s="231"/>
      <c r="O21" s="231"/>
      <c r="P21" s="43">
        <f>E48*2.5</f>
        <v>1475</v>
      </c>
      <c r="Q21" s="232">
        <f>Q23+Q24+Q25+Q26+Q27+Q30</f>
        <v>2580</v>
      </c>
      <c r="R21" s="233"/>
      <c r="S21" s="234" t="s">
        <v>89</v>
      </c>
      <c r="T21" s="235"/>
      <c r="V21" s="66"/>
    </row>
    <row r="22" spans="2:22" ht="24.95" customHeight="1" x14ac:dyDescent="0.3">
      <c r="B22" s="163"/>
      <c r="C22" s="262"/>
      <c r="D22" s="214" t="s">
        <v>15</v>
      </c>
      <c r="E22" s="215"/>
      <c r="F22" s="216"/>
      <c r="G22" s="37">
        <v>30</v>
      </c>
      <c r="H22" s="37"/>
      <c r="I22" s="16">
        <f t="shared" si="0"/>
        <v>30</v>
      </c>
      <c r="K22" s="167"/>
      <c r="L22" s="230"/>
      <c r="M22" s="238" t="s">
        <v>59</v>
      </c>
      <c r="N22" s="238"/>
      <c r="O22" s="238"/>
      <c r="P22" s="44"/>
      <c r="Q22" s="239"/>
      <c r="R22" s="240"/>
      <c r="S22" s="236"/>
      <c r="T22" s="237"/>
      <c r="V22" s="68"/>
    </row>
    <row r="23" spans="2:22" ht="24.95" customHeight="1" x14ac:dyDescent="0.3">
      <c r="B23" s="163"/>
      <c r="C23" s="262"/>
      <c r="D23" s="74" t="s">
        <v>96</v>
      </c>
      <c r="E23" s="241">
        <f>(H23/E48)*0.3025</f>
        <v>0.33423686440677969</v>
      </c>
      <c r="F23" s="242"/>
      <c r="G23" s="37"/>
      <c r="H23" s="37">
        <v>651.9</v>
      </c>
      <c r="I23" s="16">
        <f t="shared" si="0"/>
        <v>651.9</v>
      </c>
      <c r="K23" s="167"/>
      <c r="L23" s="59" t="s">
        <v>10</v>
      </c>
      <c r="M23" s="152" t="s">
        <v>115</v>
      </c>
      <c r="N23" s="153"/>
      <c r="O23" s="169"/>
      <c r="P23" s="13">
        <f>50+(E48*0.1)</f>
        <v>109</v>
      </c>
      <c r="Q23" s="224">
        <f t="shared" ref="Q23:Q28" si="1">I17</f>
        <v>150</v>
      </c>
      <c r="R23" s="225"/>
      <c r="S23" s="158" t="s">
        <v>81</v>
      </c>
      <c r="T23" s="159"/>
      <c r="V23" s="66"/>
    </row>
    <row r="24" spans="2:22" ht="24.95" customHeight="1" x14ac:dyDescent="0.3">
      <c r="B24" s="163"/>
      <c r="C24" s="262"/>
      <c r="D24" s="36" t="s">
        <v>16</v>
      </c>
      <c r="E24" s="226">
        <f>H24/P14</f>
        <v>37.541108213820074</v>
      </c>
      <c r="F24" s="227"/>
      <c r="G24" s="37"/>
      <c r="H24" s="37">
        <v>28794.03</v>
      </c>
      <c r="I24" s="16">
        <f>G24+H24</f>
        <v>28794.03</v>
      </c>
      <c r="K24" s="167"/>
      <c r="L24" s="59" t="s">
        <v>11</v>
      </c>
      <c r="M24" s="152" t="s">
        <v>114</v>
      </c>
      <c r="N24" s="153"/>
      <c r="O24" s="169"/>
      <c r="P24" s="13">
        <f>30+(E48*0.05*4.29)</f>
        <v>156.55500000000001</v>
      </c>
      <c r="Q24" s="224">
        <f t="shared" si="1"/>
        <v>260</v>
      </c>
      <c r="R24" s="225"/>
      <c r="S24" s="158" t="s">
        <v>81</v>
      </c>
      <c r="T24" s="159"/>
      <c r="V24" s="67"/>
    </row>
    <row r="25" spans="2:22" ht="24.95" customHeight="1" x14ac:dyDescent="0.3">
      <c r="B25" s="163"/>
      <c r="C25" s="262"/>
      <c r="D25" s="214" t="s">
        <v>17</v>
      </c>
      <c r="E25" s="215"/>
      <c r="F25" s="216"/>
      <c r="G25" s="37"/>
      <c r="H25" s="37"/>
      <c r="I25" s="16">
        <f>G25+H25</f>
        <v>0</v>
      </c>
      <c r="K25" s="167"/>
      <c r="L25" s="60" t="s">
        <v>12</v>
      </c>
      <c r="M25" s="152" t="s">
        <v>60</v>
      </c>
      <c r="N25" s="153"/>
      <c r="O25" s="169"/>
      <c r="P25" s="13"/>
      <c r="Q25" s="224">
        <f t="shared" si="1"/>
        <v>100</v>
      </c>
      <c r="R25" s="225"/>
      <c r="S25" s="158" t="s">
        <v>84</v>
      </c>
      <c r="T25" s="159"/>
      <c r="V25" s="66"/>
    </row>
    <row r="26" spans="2:22" ht="24.95" customHeight="1" x14ac:dyDescent="0.3">
      <c r="B26" s="163"/>
      <c r="C26" s="262"/>
      <c r="D26" s="243" t="s">
        <v>90</v>
      </c>
      <c r="E26" s="244"/>
      <c r="F26" s="245"/>
      <c r="G26" s="37"/>
      <c r="H26" s="37">
        <f>V32</f>
        <v>2884.2898395721922</v>
      </c>
      <c r="I26" s="16">
        <f>G26+H26</f>
        <v>2884.2898395721922</v>
      </c>
      <c r="K26" s="167"/>
      <c r="L26" s="60" t="s">
        <v>13</v>
      </c>
      <c r="M26" s="152" t="s">
        <v>61</v>
      </c>
      <c r="N26" s="153"/>
      <c r="O26" s="169"/>
      <c r="P26" s="13"/>
      <c r="Q26" s="224">
        <f t="shared" si="1"/>
        <v>90</v>
      </c>
      <c r="R26" s="225"/>
      <c r="S26" s="248" t="s">
        <v>85</v>
      </c>
      <c r="T26" s="249"/>
      <c r="V26" s="68"/>
    </row>
    <row r="27" spans="2:22" ht="24.95" customHeight="1" x14ac:dyDescent="0.3">
      <c r="B27" s="163"/>
      <c r="C27" s="262"/>
      <c r="D27" s="243" t="s">
        <v>95</v>
      </c>
      <c r="E27" s="244"/>
      <c r="F27" s="245"/>
      <c r="G27" s="37"/>
      <c r="H27" s="61"/>
      <c r="I27" s="16">
        <f t="shared" si="0"/>
        <v>0</v>
      </c>
      <c r="K27" s="167"/>
      <c r="L27" s="60" t="s">
        <v>94</v>
      </c>
      <c r="M27" s="152"/>
      <c r="N27" s="153"/>
      <c r="O27" s="169"/>
      <c r="P27" s="13"/>
      <c r="Q27" s="224">
        <f t="shared" si="1"/>
        <v>950</v>
      </c>
      <c r="R27" s="225"/>
      <c r="S27" s="246"/>
      <c r="T27" s="247"/>
      <c r="V27" s="69"/>
    </row>
    <row r="28" spans="2:22" ht="24.95" customHeight="1" x14ac:dyDescent="0.3">
      <c r="B28" s="163"/>
      <c r="C28" s="262"/>
      <c r="D28" s="214"/>
      <c r="E28" s="215"/>
      <c r="F28" s="216"/>
      <c r="G28" s="37"/>
      <c r="H28" s="37"/>
      <c r="I28" s="16">
        <f t="shared" si="0"/>
        <v>0</v>
      </c>
      <c r="K28" s="167"/>
      <c r="L28" s="60" t="s">
        <v>15</v>
      </c>
      <c r="M28" s="152"/>
      <c r="N28" s="153"/>
      <c r="O28" s="169"/>
      <c r="P28" s="13"/>
      <c r="Q28" s="224">
        <f t="shared" si="1"/>
        <v>30</v>
      </c>
      <c r="R28" s="225"/>
      <c r="S28" s="152"/>
      <c r="T28" s="154"/>
    </row>
    <row r="29" spans="2:22" ht="24.95" customHeight="1" thickBot="1" x14ac:dyDescent="0.35">
      <c r="B29" s="163"/>
      <c r="C29" s="263"/>
      <c r="D29" s="257" t="s">
        <v>26</v>
      </c>
      <c r="E29" s="258"/>
      <c r="F29" s="259"/>
      <c r="G29" s="129">
        <f>SUM(G16:G28)</f>
        <v>690</v>
      </c>
      <c r="H29" s="129">
        <f>SUM(H16:H28)</f>
        <v>33370.219839572193</v>
      </c>
      <c r="I29" s="130">
        <f t="shared" si="0"/>
        <v>34060.219839572193</v>
      </c>
      <c r="K29" s="167"/>
      <c r="L29" s="60" t="s">
        <v>56</v>
      </c>
      <c r="M29" s="152"/>
      <c r="N29" s="153"/>
      <c r="O29" s="169"/>
      <c r="P29" s="13"/>
      <c r="Q29" s="224"/>
      <c r="R29" s="225"/>
      <c r="S29" s="246" t="s">
        <v>84</v>
      </c>
      <c r="T29" s="247"/>
      <c r="V29" s="56"/>
    </row>
    <row r="30" spans="2:22" ht="24.95" customHeight="1" thickTop="1" x14ac:dyDescent="0.3">
      <c r="B30" s="163"/>
      <c r="C30" s="260" t="s">
        <v>44</v>
      </c>
      <c r="D30" s="260"/>
      <c r="E30" s="260"/>
      <c r="F30" s="260"/>
      <c r="G30" s="89"/>
      <c r="H30" s="89">
        <v>360</v>
      </c>
      <c r="I30" s="90">
        <f t="shared" si="0"/>
        <v>360</v>
      </c>
      <c r="K30" s="167"/>
      <c r="L30" s="59" t="s">
        <v>55</v>
      </c>
      <c r="M30" s="152" t="s">
        <v>62</v>
      </c>
      <c r="N30" s="153"/>
      <c r="O30" s="169"/>
      <c r="P30" s="13">
        <f>200+E48*1</f>
        <v>790</v>
      </c>
      <c r="Q30" s="224">
        <v>1030</v>
      </c>
      <c r="R30" s="225"/>
      <c r="S30" s="158" t="s">
        <v>81</v>
      </c>
      <c r="T30" s="159"/>
    </row>
    <row r="31" spans="2:22" ht="24.95" customHeight="1" x14ac:dyDescent="0.3">
      <c r="B31" s="163"/>
      <c r="C31" s="168" t="s">
        <v>18</v>
      </c>
      <c r="D31" s="168"/>
      <c r="E31" s="168"/>
      <c r="F31" s="168"/>
      <c r="G31" s="28">
        <f>G15+G29</f>
        <v>72107.245989304807</v>
      </c>
      <c r="H31" s="28">
        <f>H15+H29+H30</f>
        <v>33730.219839572193</v>
      </c>
      <c r="I31" s="29">
        <f t="shared" si="0"/>
        <v>105837.465828877</v>
      </c>
      <c r="K31" s="167"/>
      <c r="L31" s="21"/>
      <c r="M31" s="152"/>
      <c r="N31" s="153"/>
      <c r="O31" s="169"/>
      <c r="P31" s="13"/>
      <c r="Q31" s="224"/>
      <c r="R31" s="225"/>
      <c r="S31" s="152"/>
      <c r="T31" s="154"/>
      <c r="V31" s="70" t="s">
        <v>146</v>
      </c>
    </row>
    <row r="32" spans="2:22" ht="24.95" customHeight="1" thickBot="1" x14ac:dyDescent="0.35">
      <c r="B32" s="203"/>
      <c r="C32" s="176"/>
      <c r="D32" s="176"/>
      <c r="E32" s="176"/>
      <c r="F32" s="176"/>
      <c r="G32" s="31" t="str">
        <f>TEXT(G31*0.3025,"(0,000.00 평)")</f>
        <v>(21,812.44 평)</v>
      </c>
      <c r="H32" s="31" t="str">
        <f>TEXT(H31*0.3025,"(0,000.00 평)")</f>
        <v>(10,203.39 평)</v>
      </c>
      <c r="I32" s="32" t="str">
        <f>TEXT(I31*0.3025,"(0,000.00 평)")</f>
        <v>(32,015.83 평)</v>
      </c>
      <c r="K32" s="175"/>
      <c r="L32" s="124" t="s">
        <v>237</v>
      </c>
      <c r="M32" s="250"/>
      <c r="N32" s="251"/>
      <c r="O32" s="252"/>
      <c r="P32" s="125"/>
      <c r="Q32" s="253">
        <f>I16+I17+I18+I19+I20+I21+I22+I23</f>
        <v>2381.9</v>
      </c>
      <c r="R32" s="254"/>
      <c r="S32" s="255">
        <f>Q32/E48*0.3025</f>
        <v>1.2212283898305085</v>
      </c>
      <c r="T32" s="256"/>
      <c r="V32" s="72">
        <f>G31*0.04</f>
        <v>2884.2898395721922</v>
      </c>
    </row>
    <row r="33" spans="2:22" ht="24.95" customHeight="1" x14ac:dyDescent="0.3">
      <c r="B33" s="190" t="s">
        <v>19</v>
      </c>
      <c r="C33" s="279"/>
      <c r="D33" s="279"/>
      <c r="E33" s="279"/>
      <c r="F33" s="279"/>
      <c r="G33" s="280">
        <f>G31</f>
        <v>72107.245989304807</v>
      </c>
      <c r="H33" s="276"/>
      <c r="I33" s="30" t="str">
        <f>TEXT(G33*0.3025,"(0,000.00 평)")</f>
        <v>(21,812.44 평)</v>
      </c>
      <c r="Q33" s="62"/>
      <c r="R33" s="62"/>
      <c r="S33" s="63"/>
      <c r="T33" s="64"/>
      <c r="V33" s="73"/>
    </row>
    <row r="34" spans="2:22" ht="24.95" customHeight="1" thickBot="1" x14ac:dyDescent="0.35">
      <c r="B34" s="163" t="s">
        <v>20</v>
      </c>
      <c r="C34" s="164"/>
      <c r="D34" s="164"/>
      <c r="E34" s="164"/>
      <c r="F34" s="164"/>
      <c r="G34" s="212">
        <v>0</v>
      </c>
      <c r="H34" s="213"/>
      <c r="I34" s="7" t="str">
        <f>TEXT(G34*0.3025,"(0,000.00 평)")</f>
        <v>(0,000.00 평)</v>
      </c>
      <c r="K34" s="20" t="s">
        <v>86</v>
      </c>
      <c r="V34" s="40"/>
    </row>
    <row r="35" spans="2:22" ht="24.95" customHeight="1" x14ac:dyDescent="0.3">
      <c r="B35" s="163" t="s">
        <v>21</v>
      </c>
      <c r="C35" s="164"/>
      <c r="D35" s="164"/>
      <c r="E35" s="164"/>
      <c r="F35" s="164"/>
      <c r="G35" s="281">
        <f>G34/G10</f>
        <v>0</v>
      </c>
      <c r="H35" s="282"/>
      <c r="I35" s="7" t="s">
        <v>101</v>
      </c>
      <c r="K35" s="139" t="s">
        <v>51</v>
      </c>
      <c r="L35" s="140"/>
      <c r="M35" s="9" t="s">
        <v>52</v>
      </c>
      <c r="N35" s="143" t="s">
        <v>53</v>
      </c>
      <c r="O35" s="145"/>
      <c r="P35" s="143" t="s">
        <v>54</v>
      </c>
      <c r="Q35" s="144"/>
      <c r="R35" s="145"/>
      <c r="S35" s="143" t="s">
        <v>31</v>
      </c>
      <c r="T35" s="146"/>
    </row>
    <row r="36" spans="2:22" ht="24.95" customHeight="1" thickBot="1" x14ac:dyDescent="0.35">
      <c r="B36" s="203" t="s">
        <v>22</v>
      </c>
      <c r="C36" s="204"/>
      <c r="D36" s="204"/>
      <c r="E36" s="204"/>
      <c r="F36" s="204"/>
      <c r="G36" s="289">
        <f>G33/G8</f>
        <v>4.5267905072072825</v>
      </c>
      <c r="H36" s="290"/>
      <c r="I36" s="94" t="s">
        <v>236</v>
      </c>
      <c r="K36" s="167" t="s">
        <v>48</v>
      </c>
      <c r="L36" s="168"/>
      <c r="M36" s="4"/>
      <c r="N36" s="6"/>
      <c r="O36" s="2"/>
      <c r="P36" s="281"/>
      <c r="Q36" s="291"/>
      <c r="R36" s="282"/>
      <c r="S36" s="152"/>
      <c r="T36" s="154"/>
    </row>
    <row r="37" spans="2:22" ht="24.95" customHeight="1" x14ac:dyDescent="0.3">
      <c r="B37" s="190" t="s">
        <v>23</v>
      </c>
      <c r="C37" s="279"/>
      <c r="D37" s="279"/>
      <c r="E37" s="279"/>
      <c r="F37" s="279"/>
      <c r="G37" s="33" t="s">
        <v>24</v>
      </c>
      <c r="H37" s="33" t="s">
        <v>25</v>
      </c>
      <c r="I37" s="34" t="s">
        <v>26</v>
      </c>
      <c r="K37" s="167" t="s">
        <v>49</v>
      </c>
      <c r="L37" s="168"/>
      <c r="M37" s="4">
        <f>E45+E46</f>
        <v>408</v>
      </c>
      <c r="N37" s="6">
        <f>L46*E46</f>
        <v>46358.181818181816</v>
      </c>
      <c r="O37" s="2" t="str">
        <f>TEXT(N37*0.3025,"(0,000.00 평)")</f>
        <v>(14,023.35 평)</v>
      </c>
      <c r="P37" s="281">
        <f>F45</f>
        <v>0</v>
      </c>
      <c r="Q37" s="153"/>
      <c r="R37" s="169"/>
      <c r="S37" s="292" t="s">
        <v>83</v>
      </c>
      <c r="T37" s="293"/>
    </row>
    <row r="38" spans="2:22" ht="24.95" customHeight="1" x14ac:dyDescent="0.3">
      <c r="B38" s="163"/>
      <c r="C38" s="164"/>
      <c r="D38" s="164"/>
      <c r="E38" s="164"/>
      <c r="F38" s="164"/>
      <c r="G38" s="12">
        <f>Q15</f>
        <v>5</v>
      </c>
      <c r="H38" s="12">
        <f>P14</f>
        <v>767</v>
      </c>
      <c r="I38" s="17">
        <f>G38+H38</f>
        <v>772</v>
      </c>
      <c r="K38" s="167" t="s">
        <v>50</v>
      </c>
      <c r="L38" s="168"/>
      <c r="M38" s="4">
        <f>E47</f>
        <v>182</v>
      </c>
      <c r="N38" s="6">
        <f>L47*E47</f>
        <v>25059.064171122995</v>
      </c>
      <c r="O38" s="2" t="str">
        <f>TEXT(N38*0.3025,"(0,000.00 평)")</f>
        <v>(7,580.37 평)</v>
      </c>
      <c r="P38" s="281">
        <f>F46+F47</f>
        <v>1</v>
      </c>
      <c r="Q38" s="153"/>
      <c r="R38" s="169"/>
      <c r="S38" s="292" t="s">
        <v>83</v>
      </c>
      <c r="T38" s="293"/>
      <c r="V38" s="40"/>
    </row>
    <row r="39" spans="2:22" ht="24.95" customHeight="1" thickBot="1" x14ac:dyDescent="0.35">
      <c r="B39" s="203"/>
      <c r="C39" s="204"/>
      <c r="D39" s="204"/>
      <c r="E39" s="204"/>
      <c r="F39" s="204"/>
      <c r="G39" s="8">
        <f>G38/I38</f>
        <v>6.4766839378238338E-3</v>
      </c>
      <c r="H39" s="8">
        <f>H38/I38</f>
        <v>0.99352331606217614</v>
      </c>
      <c r="I39" s="18">
        <f>G39+H39</f>
        <v>1</v>
      </c>
      <c r="K39" s="175" t="s">
        <v>26</v>
      </c>
      <c r="L39" s="176"/>
      <c r="M39" s="26">
        <f>SUM(M36:M38)</f>
        <v>590</v>
      </c>
      <c r="N39" s="27">
        <f>SUM(N36:N38)</f>
        <v>71417.245989304807</v>
      </c>
      <c r="O39" s="11" t="str">
        <f>TEXT(N39*0.3025,"(0,000.00 평)")</f>
        <v>(21,603.72 평)</v>
      </c>
      <c r="P39" s="294">
        <f>SUM(P36:R38)</f>
        <v>1</v>
      </c>
      <c r="Q39" s="295"/>
      <c r="R39" s="296"/>
      <c r="S39" s="297" t="s">
        <v>83</v>
      </c>
      <c r="T39" s="298"/>
    </row>
    <row r="40" spans="2:22" ht="15" customHeight="1" x14ac:dyDescent="0.3"/>
    <row r="41" spans="2:22" ht="24.95" customHeight="1" x14ac:dyDescent="0.3">
      <c r="B41" s="20" t="s">
        <v>87</v>
      </c>
    </row>
    <row r="42" spans="2:22" ht="9.9499999999999993" customHeight="1" thickBot="1" x14ac:dyDescent="0.35">
      <c r="B42" s="20"/>
    </row>
    <row r="43" spans="2:22" ht="24.95" customHeight="1" x14ac:dyDescent="0.3">
      <c r="B43" s="139" t="s">
        <v>7</v>
      </c>
      <c r="C43" s="140" t="s">
        <v>63</v>
      </c>
      <c r="D43" s="140"/>
      <c r="E43" s="140" t="s">
        <v>52</v>
      </c>
      <c r="F43" s="140" t="s">
        <v>54</v>
      </c>
      <c r="G43" s="140" t="s">
        <v>64</v>
      </c>
      <c r="H43" s="140" t="s">
        <v>65</v>
      </c>
      <c r="I43" s="140"/>
      <c r="J43" s="140"/>
      <c r="K43" s="140"/>
      <c r="L43" s="140" t="s">
        <v>53</v>
      </c>
      <c r="M43" s="140"/>
      <c r="N43" s="140" t="s">
        <v>68</v>
      </c>
      <c r="O43" s="140"/>
      <c r="P43" s="140"/>
      <c r="Q43" s="140"/>
      <c r="R43" s="140" t="s">
        <v>70</v>
      </c>
      <c r="S43" s="140"/>
      <c r="T43" s="305" t="s">
        <v>72</v>
      </c>
    </row>
    <row r="44" spans="2:22" ht="24.95" customHeight="1" x14ac:dyDescent="0.3">
      <c r="B44" s="163"/>
      <c r="C44" s="164"/>
      <c r="D44" s="164"/>
      <c r="E44" s="164"/>
      <c r="F44" s="164"/>
      <c r="G44" s="164"/>
      <c r="H44" s="10" t="s">
        <v>66</v>
      </c>
      <c r="I44" s="10" t="s">
        <v>67</v>
      </c>
      <c r="J44" s="168" t="s">
        <v>43</v>
      </c>
      <c r="K44" s="168"/>
      <c r="L44" s="164"/>
      <c r="M44" s="164"/>
      <c r="N44" s="49" t="s">
        <v>91</v>
      </c>
      <c r="O44" s="10" t="s">
        <v>88</v>
      </c>
      <c r="P44" s="10" t="s">
        <v>69</v>
      </c>
      <c r="Q44" s="10" t="s">
        <v>43</v>
      </c>
      <c r="R44" s="164"/>
      <c r="S44" s="164"/>
      <c r="T44" s="306"/>
    </row>
    <row r="45" spans="2:22" ht="24.95" hidden="1" customHeight="1" x14ac:dyDescent="0.3">
      <c r="B45" s="307" t="s">
        <v>8</v>
      </c>
      <c r="C45" s="81" t="s">
        <v>99</v>
      </c>
      <c r="D45" s="76">
        <f>M45</f>
        <v>30.290441176470591</v>
      </c>
      <c r="E45" s="39">
        <v>0</v>
      </c>
      <c r="F45" s="5">
        <f>E45/$E$48</f>
        <v>0</v>
      </c>
      <c r="G45" s="55">
        <v>74.900000000000006</v>
      </c>
      <c r="H45" s="6">
        <f>G45*0.09</f>
        <v>6.7410000000000005</v>
      </c>
      <c r="I45" s="6">
        <f>L45-G45-H45</f>
        <v>18.492689839572193</v>
      </c>
      <c r="J45" s="224">
        <f>H45+I45</f>
        <v>25.233689839572193</v>
      </c>
      <c r="K45" s="225"/>
      <c r="L45" s="6">
        <f>G45/V48</f>
        <v>100.1336898395722</v>
      </c>
      <c r="M45" s="54">
        <f>L45*0.3025</f>
        <v>30.290441176470591</v>
      </c>
      <c r="N45" s="6">
        <f>N48*(G45/$G$48)</f>
        <v>3.3396476232728887</v>
      </c>
      <c r="O45" s="6">
        <f>O48*(G45/$G$48)</f>
        <v>40.37193578821455</v>
      </c>
      <c r="P45" s="6">
        <f>P48*(G45/$G$48)</f>
        <v>4.0440453871100432</v>
      </c>
      <c r="Q45" s="6">
        <f>N45+O45+P45</f>
        <v>47.755628798597485</v>
      </c>
      <c r="R45" s="6">
        <f>L45+Q45</f>
        <v>147.8893186381697</v>
      </c>
      <c r="S45" s="65">
        <f>R45*0.3025</f>
        <v>44.736518888046334</v>
      </c>
      <c r="T45" s="38">
        <f>G45/L45</f>
        <v>0.748</v>
      </c>
    </row>
    <row r="46" spans="2:22" ht="24.95" customHeight="1" x14ac:dyDescent="0.3">
      <c r="B46" s="307"/>
      <c r="C46" s="82" t="s">
        <v>100</v>
      </c>
      <c r="D46" s="77">
        <f>M46</f>
        <v>34.370955882352938</v>
      </c>
      <c r="E46" s="127">
        <v>408</v>
      </c>
      <c r="F46" s="5">
        <f>E46/$E$48</f>
        <v>0.69152542372881354</v>
      </c>
      <c r="G46" s="132">
        <v>84.99</v>
      </c>
      <c r="H46" s="6">
        <f>G46*0.09</f>
        <v>7.6490999999999989</v>
      </c>
      <c r="I46" s="6">
        <f t="shared" ref="I46:I47" si="2">L46-G46-H46</f>
        <v>20.983894652406413</v>
      </c>
      <c r="J46" s="224">
        <f>H46+I46</f>
        <v>28.63299465240641</v>
      </c>
      <c r="K46" s="225"/>
      <c r="L46" s="6">
        <f>G46/V48</f>
        <v>113.6229946524064</v>
      </c>
      <c r="M46" s="54">
        <f t="shared" ref="M46:M48" si="3">L46*0.3025</f>
        <v>34.370955882352938</v>
      </c>
      <c r="N46" s="6">
        <f>N48*(G46/$G$48)</f>
        <v>3.7895414085709311</v>
      </c>
      <c r="O46" s="6">
        <f>O48*(G46/$G$48)</f>
        <v>45.810558379711004</v>
      </c>
      <c r="P46" s="6">
        <f>P48*(G46/$G$48)</f>
        <v>4.588830673571195</v>
      </c>
      <c r="Q46" s="6">
        <f>N46+O46+P46</f>
        <v>54.188930461853133</v>
      </c>
      <c r="R46" s="6">
        <f>L46+Q46</f>
        <v>167.81192511425954</v>
      </c>
      <c r="S46" s="65">
        <f>R46*0.3025</f>
        <v>50.76310734706351</v>
      </c>
      <c r="T46" s="38">
        <f>G46/L46</f>
        <v>0.748</v>
      </c>
    </row>
    <row r="47" spans="2:22" ht="24.95" customHeight="1" x14ac:dyDescent="0.3">
      <c r="B47" s="307"/>
      <c r="C47" s="81" t="s">
        <v>145</v>
      </c>
      <c r="D47" s="76">
        <f>M47</f>
        <v>41.650367647058822</v>
      </c>
      <c r="E47" s="4">
        <v>182</v>
      </c>
      <c r="F47" s="5">
        <f>E47/$E$48</f>
        <v>0.30847457627118646</v>
      </c>
      <c r="G47" s="6">
        <v>102.99</v>
      </c>
      <c r="H47" s="6">
        <f>G47*0.09</f>
        <v>9.2690999999999999</v>
      </c>
      <c r="I47" s="6">
        <f t="shared" si="2"/>
        <v>25.428065775401073</v>
      </c>
      <c r="J47" s="224">
        <f>H47+I47</f>
        <v>34.697165775401075</v>
      </c>
      <c r="K47" s="225"/>
      <c r="L47" s="6">
        <f>G47/V48</f>
        <v>137.68716577540107</v>
      </c>
      <c r="M47" s="54">
        <f t="shared" si="3"/>
        <v>41.650367647058822</v>
      </c>
      <c r="N47" s="6">
        <f>N48*(G47/$G$48)</f>
        <v>4.592126952214616</v>
      </c>
      <c r="O47" s="6">
        <f>O48*(G47/$G$48)</f>
        <v>55.512759236691807</v>
      </c>
      <c r="P47" s="6">
        <f>P48*(G47/$G$48)</f>
        <v>5.5606973887645301</v>
      </c>
      <c r="Q47" s="6">
        <f>N47+O47+P47</f>
        <v>65.665583577670944</v>
      </c>
      <c r="R47" s="6">
        <f t="shared" ref="R47:R48" si="4">L47+Q47</f>
        <v>203.352749353072</v>
      </c>
      <c r="S47" s="65">
        <f t="shared" ref="S47:S48" si="5">R47*0.3025</f>
        <v>61.51420667930428</v>
      </c>
      <c r="T47" s="38">
        <f>G47/L47</f>
        <v>0.748</v>
      </c>
    </row>
    <row r="48" spans="2:22" ht="24.95" customHeight="1" thickBot="1" x14ac:dyDescent="0.35">
      <c r="B48" s="299" t="s">
        <v>26</v>
      </c>
      <c r="C48" s="300"/>
      <c r="D48" s="300"/>
      <c r="E48" s="133">
        <f>SUM(E45:E47)</f>
        <v>590</v>
      </c>
      <c r="F48" s="134">
        <f>SUM(F45:F47)</f>
        <v>1</v>
      </c>
      <c r="G48" s="135">
        <f>(E45*G45)+(E46*G46)+(E47*G47)</f>
        <v>53420.1</v>
      </c>
      <c r="H48" s="135">
        <f>(E45*H45)+(E47*H47)+H46*E46</f>
        <v>4807.8089999999993</v>
      </c>
      <c r="I48" s="136">
        <f>(E45*I45)+(E47*I47)+I46*E46</f>
        <v>13189.336989304811</v>
      </c>
      <c r="J48" s="301">
        <f>H48+I48</f>
        <v>17997.145989304809</v>
      </c>
      <c r="K48" s="302"/>
      <c r="L48" s="136">
        <f>E45*L45+E46*L46+E47*L47</f>
        <v>71417.245989304807</v>
      </c>
      <c r="M48" s="137">
        <f t="shared" si="3"/>
        <v>21603.716911764703</v>
      </c>
      <c r="N48" s="136">
        <f>(G16+G17+G18+G19+G20+G21+G22+G23)+(H16+H17+H18+H19+H20+H21+H22+H23)</f>
        <v>2381.9</v>
      </c>
      <c r="O48" s="136">
        <f>H24</f>
        <v>28794.03</v>
      </c>
      <c r="P48" s="136">
        <f>H25+H26</f>
        <v>2884.2898395721922</v>
      </c>
      <c r="Q48" s="136">
        <f>Q45*E45+Q46*E46+Q47*E47</f>
        <v>34060.219839572193</v>
      </c>
      <c r="R48" s="136">
        <f t="shared" si="4"/>
        <v>105477.465828877</v>
      </c>
      <c r="S48" s="137">
        <f t="shared" si="5"/>
        <v>31906.933413235292</v>
      </c>
      <c r="T48" s="138">
        <f>G48/L48</f>
        <v>0.748</v>
      </c>
      <c r="U48" t="s">
        <v>72</v>
      </c>
      <c r="V48" s="84">
        <v>0.748</v>
      </c>
    </row>
    <row r="49" spans="2:20" x14ac:dyDescent="0.3">
      <c r="L49" s="22" t="b">
        <f>L48=G15</f>
        <v>1</v>
      </c>
      <c r="N49" s="41" t="b">
        <f>N48=Q17+Q23+Q24+Q27+Q28+H23+Q25+Q26</f>
        <v>1</v>
      </c>
      <c r="O49" s="22"/>
      <c r="R49" s="41" t="b">
        <f>R48=I31-I30</f>
        <v>1</v>
      </c>
    </row>
    <row r="50" spans="2:20" x14ac:dyDescent="0.3">
      <c r="I50" s="51"/>
      <c r="N50" s="40"/>
    </row>
    <row r="51" spans="2:20" x14ac:dyDescent="0.3">
      <c r="B51" s="303"/>
      <c r="C51" s="304"/>
      <c r="D51" s="304"/>
      <c r="E51" s="304"/>
      <c r="F51" s="304"/>
      <c r="G51" s="304"/>
      <c r="H51" s="304"/>
      <c r="I51" s="304"/>
      <c r="J51" s="304"/>
      <c r="L51" s="45" t="s">
        <v>53</v>
      </c>
      <c r="R51" t="s">
        <v>92</v>
      </c>
      <c r="T51" s="46"/>
    </row>
    <row r="52" spans="2:20" x14ac:dyDescent="0.3">
      <c r="L52" s="52">
        <f>G48+J48</f>
        <v>71417.245989304807</v>
      </c>
      <c r="Q52" s="53">
        <f>N48+O48+P48</f>
        <v>34060.219839572193</v>
      </c>
      <c r="R52" s="53">
        <f>G31+H31-I30</f>
        <v>105477.465828877</v>
      </c>
    </row>
    <row r="53" spans="2:20" x14ac:dyDescent="0.3">
      <c r="L53" s="42" t="b">
        <f>L48=L52</f>
        <v>1</v>
      </c>
      <c r="Q53" s="42" t="b">
        <f>Q52=Q48</f>
        <v>1</v>
      </c>
      <c r="R53" s="42" t="b">
        <f>R52=R48</f>
        <v>1</v>
      </c>
    </row>
    <row r="54" spans="2:20" x14ac:dyDescent="0.3">
      <c r="Q54" s="42"/>
    </row>
    <row r="56" spans="2:20" x14ac:dyDescent="0.3">
      <c r="N56" s="48"/>
    </row>
    <row r="58" spans="2:20" x14ac:dyDescent="0.3">
      <c r="N58" s="58"/>
    </row>
    <row r="70" spans="4:5" x14ac:dyDescent="0.3">
      <c r="D70" s="50"/>
    </row>
    <row r="73" spans="4:5" x14ac:dyDescent="0.3">
      <c r="D73" s="57"/>
      <c r="E73" s="57"/>
    </row>
  </sheetData>
  <mergeCells count="175">
    <mergeCell ref="B48:D48"/>
    <mergeCell ref="J48:K48"/>
    <mergeCell ref="B51:J51"/>
    <mergeCell ref="L43:M44"/>
    <mergeCell ref="N43:Q43"/>
    <mergeCell ref="R43:S44"/>
    <mergeCell ref="T43:T44"/>
    <mergeCell ref="J44:K44"/>
    <mergeCell ref="B45:B47"/>
    <mergeCell ref="J45:K45"/>
    <mergeCell ref="J46:K46"/>
    <mergeCell ref="J47:K47"/>
    <mergeCell ref="B43:B44"/>
    <mergeCell ref="C43:D44"/>
    <mergeCell ref="E43:E44"/>
    <mergeCell ref="F43:F44"/>
    <mergeCell ref="G43:G44"/>
    <mergeCell ref="H43:K43"/>
    <mergeCell ref="S35:T35"/>
    <mergeCell ref="B36:F36"/>
    <mergeCell ref="G36:H36"/>
    <mergeCell ref="K36:L36"/>
    <mergeCell ref="P36:R36"/>
    <mergeCell ref="S36:T36"/>
    <mergeCell ref="B37:F39"/>
    <mergeCell ref="K37:L37"/>
    <mergeCell ref="P37:R37"/>
    <mergeCell ref="S37:T37"/>
    <mergeCell ref="K38:L38"/>
    <mergeCell ref="P38:R38"/>
    <mergeCell ref="S38:T38"/>
    <mergeCell ref="K39:L39"/>
    <mergeCell ref="P39:R39"/>
    <mergeCell ref="S39:T39"/>
    <mergeCell ref="B33:F33"/>
    <mergeCell ref="G33:H33"/>
    <mergeCell ref="B34:F34"/>
    <mergeCell ref="G34:H34"/>
    <mergeCell ref="B35:F35"/>
    <mergeCell ref="G35:H35"/>
    <mergeCell ref="C31:F32"/>
    <mergeCell ref="M31:O31"/>
    <mergeCell ref="Q31:R31"/>
    <mergeCell ref="K35:L35"/>
    <mergeCell ref="N35:O35"/>
    <mergeCell ref="P35:R35"/>
    <mergeCell ref="B14:B32"/>
    <mergeCell ref="C14:F14"/>
    <mergeCell ref="N14:O14"/>
    <mergeCell ref="P14:R14"/>
    <mergeCell ref="Q28:R28"/>
    <mergeCell ref="M18:O18"/>
    <mergeCell ref="Q18:R18"/>
    <mergeCell ref="M32:O32"/>
    <mergeCell ref="Q32:R32"/>
    <mergeCell ref="S32:T32"/>
    <mergeCell ref="D29:F29"/>
    <mergeCell ref="M29:O29"/>
    <mergeCell ref="Q29:R29"/>
    <mergeCell ref="S29:T29"/>
    <mergeCell ref="C30:F30"/>
    <mergeCell ref="M30:O30"/>
    <mergeCell ref="Q30:R30"/>
    <mergeCell ref="S30:T30"/>
    <mergeCell ref="C16:C29"/>
    <mergeCell ref="D16:F16"/>
    <mergeCell ref="M16:O16"/>
    <mergeCell ref="P16:R16"/>
    <mergeCell ref="S16:T16"/>
    <mergeCell ref="D17:F17"/>
    <mergeCell ref="K17:L17"/>
    <mergeCell ref="M17:O17"/>
    <mergeCell ref="Q17:R17"/>
    <mergeCell ref="S17:T17"/>
    <mergeCell ref="D18:F18"/>
    <mergeCell ref="K18:L18"/>
    <mergeCell ref="D25:F25"/>
    <mergeCell ref="M25:O25"/>
    <mergeCell ref="Q25:R25"/>
    <mergeCell ref="S25:T25"/>
    <mergeCell ref="D26:F26"/>
    <mergeCell ref="M26:O26"/>
    <mergeCell ref="Q26:R26"/>
    <mergeCell ref="S26:T26"/>
    <mergeCell ref="S31:T31"/>
    <mergeCell ref="M23:O23"/>
    <mergeCell ref="Q23:R23"/>
    <mergeCell ref="S23:T23"/>
    <mergeCell ref="E24:F24"/>
    <mergeCell ref="M24:O24"/>
    <mergeCell ref="Q24:R24"/>
    <mergeCell ref="S24:T24"/>
    <mergeCell ref="D21:F21"/>
    <mergeCell ref="K21:K32"/>
    <mergeCell ref="L21:L22"/>
    <mergeCell ref="M21:O21"/>
    <mergeCell ref="Q21:R21"/>
    <mergeCell ref="S21:T22"/>
    <mergeCell ref="D22:F22"/>
    <mergeCell ref="M22:O22"/>
    <mergeCell ref="Q22:R22"/>
    <mergeCell ref="E23:F23"/>
    <mergeCell ref="D27:F27"/>
    <mergeCell ref="M27:O27"/>
    <mergeCell ref="Q27:R27"/>
    <mergeCell ref="S27:T27"/>
    <mergeCell ref="D28:F28"/>
    <mergeCell ref="M28:O28"/>
    <mergeCell ref="S28:T28"/>
    <mergeCell ref="S18:T18"/>
    <mergeCell ref="D19:F19"/>
    <mergeCell ref="K19:L19"/>
    <mergeCell ref="M19:O19"/>
    <mergeCell ref="Q19:R19"/>
    <mergeCell ref="S19:T19"/>
    <mergeCell ref="D20:F20"/>
    <mergeCell ref="K20:L20"/>
    <mergeCell ref="M20:O20"/>
    <mergeCell ref="Q20:R20"/>
    <mergeCell ref="S20:T20"/>
    <mergeCell ref="C8:C9"/>
    <mergeCell ref="C11:F11"/>
    <mergeCell ref="B8:B11"/>
    <mergeCell ref="S14:T14"/>
    <mergeCell ref="C15:F15"/>
    <mergeCell ref="N15:O15"/>
    <mergeCell ref="Q15:R15"/>
    <mergeCell ref="S15:T15"/>
    <mergeCell ref="G10:H10"/>
    <mergeCell ref="N10:O10"/>
    <mergeCell ref="Q10:R10"/>
    <mergeCell ref="S10:T10"/>
    <mergeCell ref="B13:F13"/>
    <mergeCell ref="G13:I13"/>
    <mergeCell ref="N13:O13"/>
    <mergeCell ref="Q13:R13"/>
    <mergeCell ref="S13:T13"/>
    <mergeCell ref="S7:T8"/>
    <mergeCell ref="G8:H8"/>
    <mergeCell ref="N8:O8"/>
    <mergeCell ref="Q8:R8"/>
    <mergeCell ref="G9:H9"/>
    <mergeCell ref="K7:L16"/>
    <mergeCell ref="M7:M14"/>
    <mergeCell ref="N7:O7"/>
    <mergeCell ref="Q7:R7"/>
    <mergeCell ref="G11:I11"/>
    <mergeCell ref="N11:O11"/>
    <mergeCell ref="Q11:R11"/>
    <mergeCell ref="D8:F8"/>
    <mergeCell ref="D9:F9"/>
    <mergeCell ref="B5:F5"/>
    <mergeCell ref="G5:I5"/>
    <mergeCell ref="K5:L5"/>
    <mergeCell ref="M5:O5"/>
    <mergeCell ref="Q5:R5"/>
    <mergeCell ref="S5:T5"/>
    <mergeCell ref="S11:T11"/>
    <mergeCell ref="B12:F12"/>
    <mergeCell ref="G12:I12"/>
    <mergeCell ref="N12:O12"/>
    <mergeCell ref="Q12:R12"/>
    <mergeCell ref="S12:T12"/>
    <mergeCell ref="S9:T9"/>
    <mergeCell ref="C10:F10"/>
    <mergeCell ref="B6:F6"/>
    <mergeCell ref="G6:I6"/>
    <mergeCell ref="K6:L6"/>
    <mergeCell ref="M6:O6"/>
    <mergeCell ref="Q6:R6"/>
    <mergeCell ref="S6:T6"/>
    <mergeCell ref="N9:O9"/>
    <mergeCell ref="Q9:R9"/>
    <mergeCell ref="B7:F7"/>
    <mergeCell ref="G7:I7"/>
  </mergeCells>
  <phoneticPr fontId="1" type="noConversion"/>
  <pageMargins left="0.7" right="0.7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E6842-AC9B-454E-8055-71AB30943F93}">
  <sheetPr>
    <pageSetUpPr fitToPage="1"/>
  </sheetPr>
  <dimension ref="B2:V73"/>
  <sheetViews>
    <sheetView tabSelected="1" view="pageBreakPreview" topLeftCell="A12" zoomScale="70" zoomScaleNormal="70" zoomScaleSheetLayoutView="70" workbookViewId="0">
      <selection activeCell="G33" sqref="G33:H33"/>
    </sheetView>
  </sheetViews>
  <sheetFormatPr defaultRowHeight="16.5" x14ac:dyDescent="0.3"/>
  <cols>
    <col min="2" max="2" width="9.625" customWidth="1"/>
    <col min="3" max="3" width="12.625" customWidth="1"/>
    <col min="4" max="4" width="15" customWidth="1"/>
    <col min="5" max="6" width="10.625" customWidth="1"/>
    <col min="7" max="9" width="15.625" customWidth="1"/>
    <col min="11" max="11" width="15.625" customWidth="1"/>
    <col min="12" max="12" width="20.625" customWidth="1"/>
    <col min="13" max="17" width="15.625" customWidth="1"/>
    <col min="18" max="18" width="16.875" customWidth="1"/>
    <col min="19" max="19" width="20.625" customWidth="1"/>
    <col min="20" max="20" width="22.75" customWidth="1"/>
    <col min="22" max="22" width="24" bestFit="1" customWidth="1"/>
  </cols>
  <sheetData>
    <row r="2" spans="2:22" x14ac:dyDescent="0.3">
      <c r="B2" s="62"/>
    </row>
    <row r="3" spans="2:22" ht="24.95" customHeight="1" x14ac:dyDescent="0.3">
      <c r="B3" s="78" t="s">
        <v>238</v>
      </c>
      <c r="C3" s="78"/>
      <c r="D3" s="79"/>
      <c r="E3" s="79"/>
      <c r="F3" s="80"/>
      <c r="G3" s="80"/>
      <c r="H3" s="80"/>
      <c r="I3" s="80"/>
      <c r="K3" s="47" t="s">
        <v>93</v>
      </c>
      <c r="L3" s="47"/>
      <c r="T3" s="75"/>
    </row>
    <row r="4" spans="2:22" ht="9.9499999999999993" customHeight="1" thickBot="1" x14ac:dyDescent="0.35">
      <c r="B4" s="19"/>
      <c r="C4" s="1"/>
      <c r="D4" s="1"/>
      <c r="E4" s="1"/>
      <c r="F4" s="1"/>
      <c r="G4" s="1"/>
      <c r="H4" s="1"/>
      <c r="I4" s="1"/>
    </row>
    <row r="5" spans="2:22" ht="24.95" customHeight="1" x14ac:dyDescent="0.3">
      <c r="B5" s="139" t="s">
        <v>0</v>
      </c>
      <c r="C5" s="140"/>
      <c r="D5" s="140"/>
      <c r="E5" s="140"/>
      <c r="F5" s="140"/>
      <c r="G5" s="141" t="s">
        <v>97</v>
      </c>
      <c r="H5" s="141"/>
      <c r="I5" s="142"/>
      <c r="K5" s="139" t="s">
        <v>27</v>
      </c>
      <c r="L5" s="140"/>
      <c r="M5" s="143" t="s">
        <v>28</v>
      </c>
      <c r="N5" s="144"/>
      <c r="O5" s="145"/>
      <c r="P5" s="9" t="s">
        <v>29</v>
      </c>
      <c r="Q5" s="140" t="s">
        <v>30</v>
      </c>
      <c r="R5" s="140"/>
      <c r="S5" s="143" t="s">
        <v>31</v>
      </c>
      <c r="T5" s="146"/>
      <c r="V5">
        <f>G10*1.95-G33</f>
        <v>-48179.39084337349</v>
      </c>
    </row>
    <row r="6" spans="2:22" ht="24.95" customHeight="1" x14ac:dyDescent="0.3">
      <c r="B6" s="163" t="s">
        <v>1</v>
      </c>
      <c r="C6" s="164"/>
      <c r="D6" s="164"/>
      <c r="E6" s="164"/>
      <c r="F6" s="164"/>
      <c r="G6" s="165" t="s">
        <v>98</v>
      </c>
      <c r="H6" s="165"/>
      <c r="I6" s="166"/>
      <c r="K6" s="167" t="s">
        <v>32</v>
      </c>
      <c r="L6" s="168"/>
      <c r="M6" s="152" t="s">
        <v>36</v>
      </c>
      <c r="N6" s="153"/>
      <c r="O6" s="169"/>
      <c r="P6" s="2" t="s">
        <v>37</v>
      </c>
      <c r="Q6" s="170" t="s">
        <v>38</v>
      </c>
      <c r="R6" s="170"/>
      <c r="S6" s="152" t="s">
        <v>39</v>
      </c>
      <c r="T6" s="154"/>
    </row>
    <row r="7" spans="2:22" ht="24.95" customHeight="1" x14ac:dyDescent="0.3">
      <c r="B7" s="163" t="s">
        <v>2</v>
      </c>
      <c r="C7" s="164"/>
      <c r="D7" s="164"/>
      <c r="E7" s="164"/>
      <c r="F7" s="164"/>
      <c r="G7" s="170" t="s">
        <v>116</v>
      </c>
      <c r="H7" s="170"/>
      <c r="I7" s="312"/>
      <c r="K7" s="167" t="s">
        <v>33</v>
      </c>
      <c r="L7" s="168"/>
      <c r="M7" s="170" t="s">
        <v>8</v>
      </c>
      <c r="N7" s="152" t="s">
        <v>34</v>
      </c>
      <c r="O7" s="169"/>
      <c r="P7" s="3">
        <f>(E45*G45)/85</f>
        <v>0</v>
      </c>
      <c r="Q7" s="173"/>
      <c r="R7" s="174"/>
      <c r="S7" s="208" t="s">
        <v>73</v>
      </c>
      <c r="T7" s="209"/>
    </row>
    <row r="8" spans="2:22" ht="24.95" customHeight="1" x14ac:dyDescent="0.3">
      <c r="B8" s="188" t="s">
        <v>3</v>
      </c>
      <c r="C8" s="183" t="s">
        <v>112</v>
      </c>
      <c r="D8" s="180" t="s">
        <v>113</v>
      </c>
      <c r="E8" s="181"/>
      <c r="F8" s="182"/>
      <c r="G8" s="212">
        <v>11970</v>
      </c>
      <c r="H8" s="213"/>
      <c r="I8" s="7" t="str">
        <f>TEXT(G8*0.3025,"(0,000.00 평)")</f>
        <v>(3,620.93 평)</v>
      </c>
      <c r="K8" s="167"/>
      <c r="L8" s="168"/>
      <c r="M8" s="170"/>
      <c r="N8" s="152" t="s">
        <v>35</v>
      </c>
      <c r="O8" s="169"/>
      <c r="P8" s="3">
        <f>(E47*G47)/70</f>
        <v>175.083</v>
      </c>
      <c r="Q8" s="173"/>
      <c r="R8" s="174"/>
      <c r="S8" s="210"/>
      <c r="T8" s="211"/>
    </row>
    <row r="9" spans="2:22" ht="24.95" customHeight="1" x14ac:dyDescent="0.3">
      <c r="B9" s="189"/>
      <c r="C9" s="184"/>
      <c r="D9" s="180" t="s">
        <v>234</v>
      </c>
      <c r="E9" s="181"/>
      <c r="F9" s="182"/>
      <c r="G9" s="212">
        <v>1844.4</v>
      </c>
      <c r="H9" s="213"/>
      <c r="I9" s="7" t="str">
        <f>TEXT(G9*0.3025,"(0,000.00 평)")</f>
        <v>(0,557.93 평)</v>
      </c>
      <c r="K9" s="167"/>
      <c r="L9" s="168"/>
      <c r="M9" s="170"/>
      <c r="N9" s="171">
        <f>P9/E48</f>
        <v>1.3</v>
      </c>
      <c r="O9" s="172"/>
      <c r="P9" s="3">
        <f>E48*1.3</f>
        <v>530.4</v>
      </c>
      <c r="Q9" s="173"/>
      <c r="R9" s="174"/>
      <c r="S9" s="158" t="s">
        <v>80</v>
      </c>
      <c r="T9" s="159"/>
    </row>
    <row r="10" spans="2:22" ht="24.95" customHeight="1" x14ac:dyDescent="0.3">
      <c r="B10" s="189"/>
      <c r="C10" s="185" t="s">
        <v>235</v>
      </c>
      <c r="D10" s="186"/>
      <c r="E10" s="186"/>
      <c r="F10" s="187"/>
      <c r="G10" s="195">
        <v>737.6</v>
      </c>
      <c r="H10" s="196"/>
      <c r="I10" s="7" t="str">
        <f>TEXT(G10*0.3025,"(0,000.00 평)")</f>
        <v>(0,223.12 평)</v>
      </c>
      <c r="K10" s="167"/>
      <c r="L10" s="168"/>
      <c r="M10" s="170"/>
      <c r="N10" s="197" t="s">
        <v>82</v>
      </c>
      <c r="O10" s="198"/>
      <c r="P10" s="23" t="s">
        <v>83</v>
      </c>
      <c r="Q10" s="199">
        <f>P14-(Q11+Q12+Q13)</f>
        <v>329.22</v>
      </c>
      <c r="R10" s="200"/>
      <c r="S10" s="201"/>
      <c r="T10" s="202"/>
    </row>
    <row r="11" spans="2:22" ht="24.95" customHeight="1" x14ac:dyDescent="0.3">
      <c r="B11" s="190"/>
      <c r="C11" s="185" t="s">
        <v>233</v>
      </c>
      <c r="D11" s="186"/>
      <c r="E11" s="186"/>
      <c r="F11" s="187"/>
      <c r="G11" s="177">
        <f>G8+G9+G10</f>
        <v>14552</v>
      </c>
      <c r="H11" s="178"/>
      <c r="I11" s="179"/>
      <c r="K11" s="167"/>
      <c r="L11" s="168"/>
      <c r="M11" s="170"/>
      <c r="N11" s="147" t="s">
        <v>40</v>
      </c>
      <c r="O11" s="155"/>
      <c r="P11" s="24" t="s">
        <v>77</v>
      </c>
      <c r="Q11" s="156">
        <f>P14*0.3</f>
        <v>159.29999999999998</v>
      </c>
      <c r="R11" s="157"/>
      <c r="S11" s="147"/>
      <c r="T11" s="148"/>
    </row>
    <row r="12" spans="2:22" ht="24.95" customHeight="1" x14ac:dyDescent="0.3">
      <c r="B12" s="163" t="s">
        <v>5</v>
      </c>
      <c r="C12" s="164"/>
      <c r="D12" s="164"/>
      <c r="E12" s="164"/>
      <c r="F12" s="164"/>
      <c r="G12" s="152" t="s">
        <v>71</v>
      </c>
      <c r="H12" s="153"/>
      <c r="I12" s="154"/>
      <c r="K12" s="167"/>
      <c r="L12" s="168"/>
      <c r="M12" s="170"/>
      <c r="N12" s="147" t="s">
        <v>41</v>
      </c>
      <c r="O12" s="155"/>
      <c r="P12" s="24" t="s">
        <v>78</v>
      </c>
      <c r="Q12" s="156">
        <f>P14*0.05</f>
        <v>26.55</v>
      </c>
      <c r="R12" s="157"/>
      <c r="S12" s="147"/>
      <c r="T12" s="148"/>
    </row>
    <row r="13" spans="2:22" ht="24.95" customHeight="1" thickBot="1" x14ac:dyDescent="0.35">
      <c r="B13" s="203" t="s">
        <v>4</v>
      </c>
      <c r="C13" s="204"/>
      <c r="D13" s="204"/>
      <c r="E13" s="204"/>
      <c r="F13" s="204"/>
      <c r="G13" s="205" t="s">
        <v>241</v>
      </c>
      <c r="H13" s="206"/>
      <c r="I13" s="207"/>
      <c r="K13" s="167"/>
      <c r="L13" s="168"/>
      <c r="M13" s="170"/>
      <c r="N13" s="147" t="s">
        <v>42</v>
      </c>
      <c r="O13" s="155"/>
      <c r="P13" s="24" t="s">
        <v>79</v>
      </c>
      <c r="Q13" s="156">
        <f>P14*0.03</f>
        <v>15.93</v>
      </c>
      <c r="R13" s="157"/>
      <c r="S13" s="147"/>
      <c r="T13" s="148"/>
      <c r="V13" s="1"/>
    </row>
    <row r="14" spans="2:22" ht="24.95" customHeight="1" x14ac:dyDescent="0.3">
      <c r="B14" s="139" t="s">
        <v>6</v>
      </c>
      <c r="C14" s="283" t="s">
        <v>7</v>
      </c>
      <c r="D14" s="283"/>
      <c r="E14" s="283"/>
      <c r="F14" s="283"/>
      <c r="G14" s="92" t="s">
        <v>24</v>
      </c>
      <c r="H14" s="92" t="s">
        <v>25</v>
      </c>
      <c r="I14" s="93" t="s">
        <v>26</v>
      </c>
      <c r="K14" s="167"/>
      <c r="L14" s="168"/>
      <c r="M14" s="170"/>
      <c r="N14" s="284" t="s">
        <v>43</v>
      </c>
      <c r="O14" s="285"/>
      <c r="P14" s="286">
        <f>ROUNDUP(P9,0)</f>
        <v>531</v>
      </c>
      <c r="Q14" s="287"/>
      <c r="R14" s="288"/>
      <c r="S14" s="191">
        <f>P14/E48</f>
        <v>1.3014705882352942</v>
      </c>
      <c r="T14" s="192"/>
    </row>
    <row r="15" spans="2:22" ht="24.95" customHeight="1" thickBot="1" x14ac:dyDescent="0.35">
      <c r="B15" s="163"/>
      <c r="C15" s="193" t="s">
        <v>8</v>
      </c>
      <c r="D15" s="193"/>
      <c r="E15" s="193"/>
      <c r="F15" s="193"/>
      <c r="G15" s="126">
        <f>L48</f>
        <v>49287.71084337349</v>
      </c>
      <c r="H15" s="126"/>
      <c r="I15" s="91">
        <f>G15+H15</f>
        <v>49287.71084337349</v>
      </c>
      <c r="K15" s="167"/>
      <c r="L15" s="168"/>
      <c r="M15" s="2" t="s">
        <v>44</v>
      </c>
      <c r="N15" s="152" t="s">
        <v>45</v>
      </c>
      <c r="O15" s="169"/>
      <c r="P15" s="25">
        <f>I30/134</f>
        <v>2.6865671641791047</v>
      </c>
      <c r="Q15" s="194">
        <v>5</v>
      </c>
      <c r="R15" s="169"/>
      <c r="S15" s="152"/>
      <c r="T15" s="154"/>
      <c r="V15" s="70"/>
    </row>
    <row r="16" spans="2:22" ht="24.95" customHeight="1" thickTop="1" thickBot="1" x14ac:dyDescent="0.35">
      <c r="B16" s="163"/>
      <c r="C16" s="261" t="s">
        <v>239</v>
      </c>
      <c r="D16" s="264" t="s">
        <v>9</v>
      </c>
      <c r="E16" s="265"/>
      <c r="F16" s="266"/>
      <c r="G16" s="89">
        <v>150</v>
      </c>
      <c r="H16" s="89"/>
      <c r="I16" s="90">
        <f t="shared" ref="I16:I31" si="0">G16+H16</f>
        <v>150</v>
      </c>
      <c r="K16" s="175"/>
      <c r="L16" s="176"/>
      <c r="M16" s="267" t="s">
        <v>26</v>
      </c>
      <c r="N16" s="268"/>
      <c r="O16" s="269"/>
      <c r="P16" s="270">
        <f>P14+Q15</f>
        <v>536</v>
      </c>
      <c r="Q16" s="271"/>
      <c r="R16" s="272"/>
      <c r="S16" s="273"/>
      <c r="T16" s="274"/>
      <c r="V16" s="71"/>
    </row>
    <row r="17" spans="2:22" ht="24.95" customHeight="1" x14ac:dyDescent="0.3">
      <c r="B17" s="163"/>
      <c r="C17" s="262"/>
      <c r="D17" s="214" t="s">
        <v>10</v>
      </c>
      <c r="E17" s="215"/>
      <c r="F17" s="216"/>
      <c r="G17" s="37">
        <v>150</v>
      </c>
      <c r="H17" s="37"/>
      <c r="I17" s="16">
        <f t="shared" si="0"/>
        <v>150</v>
      </c>
      <c r="K17" s="228" t="s">
        <v>9</v>
      </c>
      <c r="L17" s="184"/>
      <c r="M17" s="210" t="s">
        <v>74</v>
      </c>
      <c r="N17" s="275"/>
      <c r="O17" s="276"/>
      <c r="P17" s="35">
        <f>10+(E48-50)*0.05</f>
        <v>27.900000000000002</v>
      </c>
      <c r="Q17" s="277">
        <f>I16</f>
        <v>150</v>
      </c>
      <c r="R17" s="278"/>
      <c r="S17" s="210"/>
      <c r="T17" s="211"/>
      <c r="V17" s="66"/>
    </row>
    <row r="18" spans="2:22" ht="24.95" customHeight="1" x14ac:dyDescent="0.3">
      <c r="B18" s="163"/>
      <c r="C18" s="262"/>
      <c r="D18" s="214" t="s">
        <v>11</v>
      </c>
      <c r="E18" s="215"/>
      <c r="F18" s="216"/>
      <c r="G18" s="37"/>
      <c r="H18" s="37"/>
      <c r="I18" s="16">
        <f t="shared" si="0"/>
        <v>0</v>
      </c>
      <c r="K18" s="167" t="s">
        <v>46</v>
      </c>
      <c r="L18" s="168"/>
      <c r="M18" s="152" t="s">
        <v>75</v>
      </c>
      <c r="N18" s="153"/>
      <c r="O18" s="169"/>
      <c r="P18" s="13">
        <f>G10*0.3</f>
        <v>221.28</v>
      </c>
      <c r="Q18" s="224">
        <f>P18</f>
        <v>221.28</v>
      </c>
      <c r="R18" s="225"/>
      <c r="S18" s="152"/>
      <c r="T18" s="154"/>
      <c r="V18" s="67"/>
    </row>
    <row r="19" spans="2:22" ht="24.95" customHeight="1" x14ac:dyDescent="0.3">
      <c r="B19" s="163"/>
      <c r="C19" s="262"/>
      <c r="D19" s="214" t="s">
        <v>12</v>
      </c>
      <c r="E19" s="215"/>
      <c r="F19" s="216"/>
      <c r="G19" s="37"/>
      <c r="H19" s="37"/>
      <c r="I19" s="16">
        <f t="shared" si="0"/>
        <v>0</v>
      </c>
      <c r="K19" s="167" t="s">
        <v>47</v>
      </c>
      <c r="L19" s="168"/>
      <c r="M19" s="152" t="s">
        <v>76</v>
      </c>
      <c r="N19" s="153"/>
      <c r="O19" s="169"/>
      <c r="P19" s="15">
        <f>E48*0.5</f>
        <v>204</v>
      </c>
      <c r="Q19" s="217">
        <v>0</v>
      </c>
      <c r="R19" s="218"/>
      <c r="S19" s="152"/>
      <c r="T19" s="154"/>
      <c r="V19" s="66"/>
    </row>
    <row r="20" spans="2:22" ht="24.95" customHeight="1" thickBot="1" x14ac:dyDescent="0.35">
      <c r="B20" s="163"/>
      <c r="C20" s="262"/>
      <c r="D20" s="214" t="s">
        <v>13</v>
      </c>
      <c r="E20" s="215"/>
      <c r="F20" s="216"/>
      <c r="G20" s="37"/>
      <c r="H20" s="37"/>
      <c r="I20" s="16">
        <f t="shared" si="0"/>
        <v>0</v>
      </c>
      <c r="K20" s="175" t="s">
        <v>44</v>
      </c>
      <c r="L20" s="176"/>
      <c r="M20" s="205"/>
      <c r="N20" s="206"/>
      <c r="O20" s="219"/>
      <c r="P20" s="14"/>
      <c r="Q20" s="220">
        <f>I30</f>
        <v>360</v>
      </c>
      <c r="R20" s="221"/>
      <c r="S20" s="222"/>
      <c r="T20" s="223"/>
      <c r="V20" s="68"/>
    </row>
    <row r="21" spans="2:22" ht="24.95" customHeight="1" x14ac:dyDescent="0.3">
      <c r="B21" s="163"/>
      <c r="C21" s="262"/>
      <c r="D21" s="214" t="s">
        <v>94</v>
      </c>
      <c r="E21" s="215"/>
      <c r="F21" s="216"/>
      <c r="G21" s="37"/>
      <c r="H21" s="37">
        <v>850</v>
      </c>
      <c r="I21" s="16">
        <f t="shared" si="0"/>
        <v>850</v>
      </c>
      <c r="K21" s="228" t="s">
        <v>14</v>
      </c>
      <c r="L21" s="229" t="s">
        <v>57</v>
      </c>
      <c r="M21" s="231" t="s">
        <v>58</v>
      </c>
      <c r="N21" s="231"/>
      <c r="O21" s="231"/>
      <c r="P21" s="43">
        <f>E48*2.5</f>
        <v>1020</v>
      </c>
      <c r="Q21" s="232">
        <f>Q23+Q24+Q25+Q26+Q27+Q30</f>
        <v>2030</v>
      </c>
      <c r="R21" s="233"/>
      <c r="S21" s="234" t="s">
        <v>89</v>
      </c>
      <c r="T21" s="235"/>
      <c r="V21" s="66"/>
    </row>
    <row r="22" spans="2:22" ht="24.95" customHeight="1" x14ac:dyDescent="0.3">
      <c r="B22" s="163"/>
      <c r="C22" s="262"/>
      <c r="D22" s="214" t="s">
        <v>15</v>
      </c>
      <c r="E22" s="215"/>
      <c r="F22" s="216"/>
      <c r="G22" s="37">
        <v>30</v>
      </c>
      <c r="H22" s="37"/>
      <c r="I22" s="16">
        <f t="shared" si="0"/>
        <v>30</v>
      </c>
      <c r="K22" s="167"/>
      <c r="L22" s="230"/>
      <c r="M22" s="238" t="s">
        <v>59</v>
      </c>
      <c r="N22" s="238"/>
      <c r="O22" s="238"/>
      <c r="P22" s="44"/>
      <c r="Q22" s="239"/>
      <c r="R22" s="240"/>
      <c r="S22" s="236"/>
      <c r="T22" s="237"/>
      <c r="V22" s="68"/>
    </row>
    <row r="23" spans="2:22" ht="24.95" customHeight="1" x14ac:dyDescent="0.3">
      <c r="B23" s="163"/>
      <c r="C23" s="262"/>
      <c r="D23" s="74" t="s">
        <v>96</v>
      </c>
      <c r="E23" s="241">
        <f>(H23/E48)*0.3025</f>
        <v>0.3293394607843137</v>
      </c>
      <c r="F23" s="242"/>
      <c r="G23" s="37"/>
      <c r="H23" s="37">
        <v>444.2</v>
      </c>
      <c r="I23" s="16">
        <f t="shared" si="0"/>
        <v>444.2</v>
      </c>
      <c r="K23" s="167"/>
      <c r="L23" s="59" t="s">
        <v>10</v>
      </c>
      <c r="M23" s="152" t="s">
        <v>115</v>
      </c>
      <c r="N23" s="153"/>
      <c r="O23" s="169"/>
      <c r="P23" s="13">
        <f>50+(E48*0.1)</f>
        <v>90.800000000000011</v>
      </c>
      <c r="Q23" s="224">
        <f t="shared" ref="Q23:Q28" si="1">I17</f>
        <v>150</v>
      </c>
      <c r="R23" s="225"/>
      <c r="S23" s="158" t="s">
        <v>81</v>
      </c>
      <c r="T23" s="159"/>
      <c r="V23" s="66"/>
    </row>
    <row r="24" spans="2:22" ht="24.95" customHeight="1" x14ac:dyDescent="0.3">
      <c r="B24" s="163"/>
      <c r="C24" s="262"/>
      <c r="D24" s="36" t="s">
        <v>16</v>
      </c>
      <c r="E24" s="226">
        <f>H24/P14</f>
        <v>36.388399246704331</v>
      </c>
      <c r="F24" s="227"/>
      <c r="G24" s="37"/>
      <c r="H24" s="37">
        <v>19322.240000000002</v>
      </c>
      <c r="I24" s="16">
        <f t="shared" si="0"/>
        <v>19322.240000000002</v>
      </c>
      <c r="K24" s="167"/>
      <c r="L24" s="59" t="s">
        <v>11</v>
      </c>
      <c r="M24" s="152" t="s">
        <v>114</v>
      </c>
      <c r="N24" s="153"/>
      <c r="O24" s="169"/>
      <c r="P24" s="13">
        <f>30+(E48*0.05*4.29)</f>
        <v>117.51600000000001</v>
      </c>
      <c r="Q24" s="224">
        <f t="shared" si="1"/>
        <v>0</v>
      </c>
      <c r="R24" s="225"/>
      <c r="S24" s="158"/>
      <c r="T24" s="159"/>
      <c r="V24" s="67"/>
    </row>
    <row r="25" spans="2:22" ht="24.95" customHeight="1" x14ac:dyDescent="0.3">
      <c r="B25" s="163"/>
      <c r="C25" s="262"/>
      <c r="D25" s="214" t="s">
        <v>17</v>
      </c>
      <c r="E25" s="215"/>
      <c r="F25" s="216"/>
      <c r="G25" s="37"/>
      <c r="H25" s="37"/>
      <c r="I25" s="16">
        <f t="shared" si="0"/>
        <v>0</v>
      </c>
      <c r="K25" s="167"/>
      <c r="L25" s="60" t="s">
        <v>12</v>
      </c>
      <c r="M25" s="152" t="s">
        <v>60</v>
      </c>
      <c r="N25" s="153"/>
      <c r="O25" s="169"/>
      <c r="P25" s="13"/>
      <c r="Q25" s="224">
        <f t="shared" si="1"/>
        <v>0</v>
      </c>
      <c r="R25" s="225"/>
      <c r="S25" s="310" t="s">
        <v>84</v>
      </c>
      <c r="T25" s="311"/>
      <c r="V25" s="66"/>
    </row>
    <row r="26" spans="2:22" ht="24.95" customHeight="1" x14ac:dyDescent="0.3">
      <c r="B26" s="163"/>
      <c r="C26" s="262"/>
      <c r="D26" s="243" t="s">
        <v>90</v>
      </c>
      <c r="E26" s="244"/>
      <c r="F26" s="245"/>
      <c r="G26" s="37"/>
      <c r="H26" s="37">
        <f>V32</f>
        <v>1984.7084337349397</v>
      </c>
      <c r="I26" s="16">
        <f t="shared" si="0"/>
        <v>1984.7084337349397</v>
      </c>
      <c r="K26" s="167"/>
      <c r="L26" s="60" t="s">
        <v>13</v>
      </c>
      <c r="M26" s="152" t="s">
        <v>61</v>
      </c>
      <c r="N26" s="153"/>
      <c r="O26" s="169"/>
      <c r="P26" s="13"/>
      <c r="Q26" s="224">
        <f t="shared" si="1"/>
        <v>0</v>
      </c>
      <c r="R26" s="225"/>
      <c r="S26" s="246" t="s">
        <v>85</v>
      </c>
      <c r="T26" s="247"/>
      <c r="V26" s="68"/>
    </row>
    <row r="27" spans="2:22" ht="24.95" customHeight="1" x14ac:dyDescent="0.3">
      <c r="B27" s="163"/>
      <c r="C27" s="262"/>
      <c r="D27" s="243" t="s">
        <v>95</v>
      </c>
      <c r="E27" s="244"/>
      <c r="F27" s="245"/>
      <c r="G27" s="37"/>
      <c r="H27" s="61"/>
      <c r="I27" s="16">
        <f t="shared" si="0"/>
        <v>0</v>
      </c>
      <c r="K27" s="167"/>
      <c r="L27" s="60" t="s">
        <v>94</v>
      </c>
      <c r="M27" s="152"/>
      <c r="N27" s="153"/>
      <c r="O27" s="169"/>
      <c r="P27" s="13"/>
      <c r="Q27" s="224">
        <f t="shared" si="1"/>
        <v>850</v>
      </c>
      <c r="R27" s="225"/>
      <c r="S27" s="246"/>
      <c r="T27" s="247"/>
      <c r="V27" s="69"/>
    </row>
    <row r="28" spans="2:22" ht="24.95" customHeight="1" x14ac:dyDescent="0.3">
      <c r="B28" s="163"/>
      <c r="C28" s="262"/>
      <c r="D28" s="214"/>
      <c r="E28" s="215"/>
      <c r="F28" s="216"/>
      <c r="G28" s="37"/>
      <c r="H28" s="37"/>
      <c r="I28" s="16">
        <f t="shared" si="0"/>
        <v>0</v>
      </c>
      <c r="K28" s="167"/>
      <c r="L28" s="60" t="s">
        <v>15</v>
      </c>
      <c r="M28" s="152"/>
      <c r="N28" s="153"/>
      <c r="O28" s="169"/>
      <c r="P28" s="13"/>
      <c r="Q28" s="224">
        <f t="shared" si="1"/>
        <v>30</v>
      </c>
      <c r="R28" s="225"/>
      <c r="S28" s="152"/>
      <c r="T28" s="154"/>
    </row>
    <row r="29" spans="2:22" ht="24.95" customHeight="1" thickBot="1" x14ac:dyDescent="0.35">
      <c r="B29" s="163"/>
      <c r="C29" s="263"/>
      <c r="D29" s="257" t="s">
        <v>26</v>
      </c>
      <c r="E29" s="258"/>
      <c r="F29" s="259"/>
      <c r="G29" s="129">
        <f>SUM(G16:G28)</f>
        <v>330</v>
      </c>
      <c r="H29" s="129">
        <f>SUM(H16:H28)</f>
        <v>22601.148433734943</v>
      </c>
      <c r="I29" s="130">
        <f t="shared" si="0"/>
        <v>22931.148433734943</v>
      </c>
      <c r="K29" s="167"/>
      <c r="L29" s="60" t="s">
        <v>56</v>
      </c>
      <c r="M29" s="152"/>
      <c r="N29" s="153"/>
      <c r="O29" s="169"/>
      <c r="P29" s="13"/>
      <c r="Q29" s="224"/>
      <c r="R29" s="225"/>
      <c r="S29" s="246" t="s">
        <v>84</v>
      </c>
      <c r="T29" s="247"/>
      <c r="V29" s="56"/>
    </row>
    <row r="30" spans="2:22" ht="24.95" customHeight="1" thickTop="1" x14ac:dyDescent="0.3">
      <c r="B30" s="163"/>
      <c r="C30" s="260" t="s">
        <v>44</v>
      </c>
      <c r="D30" s="260"/>
      <c r="E30" s="260"/>
      <c r="F30" s="260"/>
      <c r="G30" s="89"/>
      <c r="H30" s="89">
        <v>360</v>
      </c>
      <c r="I30" s="90">
        <f t="shared" si="0"/>
        <v>360</v>
      </c>
      <c r="K30" s="167"/>
      <c r="L30" s="59" t="s">
        <v>55</v>
      </c>
      <c r="M30" s="152" t="s">
        <v>62</v>
      </c>
      <c r="N30" s="153"/>
      <c r="O30" s="169"/>
      <c r="P30" s="13">
        <f>200+E48*1</f>
        <v>608</v>
      </c>
      <c r="Q30" s="224">
        <v>1030</v>
      </c>
      <c r="R30" s="225"/>
      <c r="S30" s="158" t="s">
        <v>81</v>
      </c>
      <c r="T30" s="159"/>
    </row>
    <row r="31" spans="2:22" ht="24.95" customHeight="1" x14ac:dyDescent="0.3">
      <c r="B31" s="163"/>
      <c r="C31" s="168" t="s">
        <v>18</v>
      </c>
      <c r="D31" s="168"/>
      <c r="E31" s="168"/>
      <c r="F31" s="168"/>
      <c r="G31" s="28">
        <f>G15+G29</f>
        <v>49617.71084337349</v>
      </c>
      <c r="H31" s="28">
        <f>H15+H29+H30</f>
        <v>22961.148433734943</v>
      </c>
      <c r="I31" s="29">
        <f t="shared" si="0"/>
        <v>72578.859277108437</v>
      </c>
      <c r="K31" s="167"/>
      <c r="L31" s="131"/>
      <c r="M31" s="152"/>
      <c r="N31" s="153"/>
      <c r="O31" s="169"/>
      <c r="P31" s="13"/>
      <c r="Q31" s="224"/>
      <c r="R31" s="225"/>
      <c r="S31" s="152"/>
      <c r="T31" s="154"/>
      <c r="V31" s="70" t="s">
        <v>146</v>
      </c>
    </row>
    <row r="32" spans="2:22" ht="24.95" customHeight="1" thickBot="1" x14ac:dyDescent="0.35">
      <c r="B32" s="203"/>
      <c r="C32" s="176"/>
      <c r="D32" s="176"/>
      <c r="E32" s="176"/>
      <c r="F32" s="176"/>
      <c r="G32" s="31" t="str">
        <f>TEXT(G31*0.3025,"(0,000.00 평)")</f>
        <v>(15,009.36 평)</v>
      </c>
      <c r="H32" s="31" t="str">
        <f>TEXT(H31*0.3025,"(0,000.00 평)")</f>
        <v>(6,945.75 평)</v>
      </c>
      <c r="I32" s="32" t="str">
        <f>TEXT(I31*0.3025,"(0,000.00 평)")</f>
        <v>(21,955.10 평)</v>
      </c>
      <c r="K32" s="175"/>
      <c r="L32" s="124" t="s">
        <v>237</v>
      </c>
      <c r="M32" s="250"/>
      <c r="N32" s="251"/>
      <c r="O32" s="252"/>
      <c r="P32" s="125"/>
      <c r="Q32" s="253">
        <f>I16+I17+I18+I19+I20+I21+I22+I23</f>
        <v>1624.2</v>
      </c>
      <c r="R32" s="254"/>
      <c r="S32" s="308">
        <f>Q32/E48*0.3025</f>
        <v>1.2042169117647059</v>
      </c>
      <c r="T32" s="309"/>
      <c r="V32" s="72">
        <f>G31*0.04</f>
        <v>1984.7084337349397</v>
      </c>
    </row>
    <row r="33" spans="2:22" ht="24.95" customHeight="1" x14ac:dyDescent="0.3">
      <c r="B33" s="190" t="s">
        <v>19</v>
      </c>
      <c r="C33" s="279"/>
      <c r="D33" s="279"/>
      <c r="E33" s="279"/>
      <c r="F33" s="279"/>
      <c r="G33" s="280">
        <f>G31</f>
        <v>49617.71084337349</v>
      </c>
      <c r="H33" s="276"/>
      <c r="I33" s="30" t="str">
        <f>TEXT(G33*0.3025,"(0,000.00 평)")</f>
        <v>(15,009.36 평)</v>
      </c>
      <c r="Q33" s="62"/>
      <c r="R33" s="62"/>
      <c r="S33" s="63"/>
      <c r="T33" s="64"/>
      <c r="V33" s="73"/>
    </row>
    <row r="34" spans="2:22" ht="24.95" customHeight="1" thickBot="1" x14ac:dyDescent="0.35">
      <c r="B34" s="163" t="s">
        <v>20</v>
      </c>
      <c r="C34" s="164"/>
      <c r="D34" s="164"/>
      <c r="E34" s="164"/>
      <c r="F34" s="164"/>
      <c r="G34" s="212">
        <v>0</v>
      </c>
      <c r="H34" s="213"/>
      <c r="I34" s="7" t="str">
        <f>TEXT(G34*0.3025,"(0,000.00 평)")</f>
        <v>(0,000.00 평)</v>
      </c>
      <c r="K34" s="20" t="s">
        <v>86</v>
      </c>
      <c r="V34" s="40"/>
    </row>
    <row r="35" spans="2:22" ht="24.95" customHeight="1" x14ac:dyDescent="0.3">
      <c r="B35" s="163" t="s">
        <v>21</v>
      </c>
      <c r="C35" s="164"/>
      <c r="D35" s="164"/>
      <c r="E35" s="164"/>
      <c r="F35" s="164"/>
      <c r="G35" s="281">
        <f>G34/G10</f>
        <v>0</v>
      </c>
      <c r="H35" s="282"/>
      <c r="I35" s="7" t="s">
        <v>101</v>
      </c>
      <c r="K35" s="139" t="s">
        <v>51</v>
      </c>
      <c r="L35" s="140"/>
      <c r="M35" s="9" t="s">
        <v>52</v>
      </c>
      <c r="N35" s="143" t="s">
        <v>53</v>
      </c>
      <c r="O35" s="145"/>
      <c r="P35" s="143" t="s">
        <v>54</v>
      </c>
      <c r="Q35" s="144"/>
      <c r="R35" s="145"/>
      <c r="S35" s="143" t="s">
        <v>31</v>
      </c>
      <c r="T35" s="146"/>
    </row>
    <row r="36" spans="2:22" ht="24.95" customHeight="1" thickBot="1" x14ac:dyDescent="0.35">
      <c r="B36" s="203" t="s">
        <v>22</v>
      </c>
      <c r="C36" s="204"/>
      <c r="D36" s="204"/>
      <c r="E36" s="204"/>
      <c r="F36" s="204"/>
      <c r="G36" s="289">
        <f>G33/G8</f>
        <v>4.1451721673662068</v>
      </c>
      <c r="H36" s="290"/>
      <c r="I36" s="94" t="s">
        <v>240</v>
      </c>
      <c r="K36" s="167" t="s">
        <v>48</v>
      </c>
      <c r="L36" s="168"/>
      <c r="M36" s="4"/>
      <c r="N36" s="6"/>
      <c r="O36" s="2"/>
      <c r="P36" s="281"/>
      <c r="Q36" s="291"/>
      <c r="R36" s="282"/>
      <c r="S36" s="152"/>
      <c r="T36" s="154"/>
    </row>
    <row r="37" spans="2:22" ht="24.95" customHeight="1" x14ac:dyDescent="0.3">
      <c r="B37" s="190" t="s">
        <v>23</v>
      </c>
      <c r="C37" s="279"/>
      <c r="D37" s="279"/>
      <c r="E37" s="279"/>
      <c r="F37" s="279"/>
      <c r="G37" s="33" t="s">
        <v>24</v>
      </c>
      <c r="H37" s="33" t="s">
        <v>25</v>
      </c>
      <c r="I37" s="34" t="s">
        <v>26</v>
      </c>
      <c r="K37" s="167" t="s">
        <v>49</v>
      </c>
      <c r="L37" s="168"/>
      <c r="M37" s="4">
        <f>E45+E46</f>
        <v>289</v>
      </c>
      <c r="N37" s="6">
        <f>L45*E45</f>
        <v>0</v>
      </c>
      <c r="O37" s="2" t="str">
        <f>TEXT(N37*0.3025,"(0,000.00 평)")</f>
        <v>(0,000.00 평)</v>
      </c>
      <c r="P37" s="281">
        <f>F45</f>
        <v>0</v>
      </c>
      <c r="Q37" s="153"/>
      <c r="R37" s="169"/>
      <c r="S37" s="292" t="s">
        <v>83</v>
      </c>
      <c r="T37" s="293"/>
    </row>
    <row r="38" spans="2:22" ht="24.95" customHeight="1" x14ac:dyDescent="0.3">
      <c r="B38" s="163"/>
      <c r="C38" s="164"/>
      <c r="D38" s="164"/>
      <c r="E38" s="164"/>
      <c r="F38" s="164"/>
      <c r="G38" s="12">
        <f>Q15</f>
        <v>5</v>
      </c>
      <c r="H38" s="12">
        <f>P14</f>
        <v>531</v>
      </c>
      <c r="I38" s="17">
        <f>G38+H38</f>
        <v>536</v>
      </c>
      <c r="K38" s="167" t="s">
        <v>50</v>
      </c>
      <c r="L38" s="168"/>
      <c r="M38" s="4">
        <f>E47</f>
        <v>119</v>
      </c>
      <c r="N38" s="6">
        <f>L46+L47</f>
        <v>251.64658634538154</v>
      </c>
      <c r="O38" s="2" t="str">
        <f>TEXT(N38*0.3025,"(0,000.00 평)")</f>
        <v>(0,076.12 평)</v>
      </c>
      <c r="P38" s="281">
        <f>F46+F47</f>
        <v>1</v>
      </c>
      <c r="Q38" s="153"/>
      <c r="R38" s="169"/>
      <c r="S38" s="292" t="s">
        <v>83</v>
      </c>
      <c r="T38" s="293"/>
      <c r="V38" s="40"/>
    </row>
    <row r="39" spans="2:22" ht="24.95" customHeight="1" thickBot="1" x14ac:dyDescent="0.35">
      <c r="B39" s="203"/>
      <c r="C39" s="204"/>
      <c r="D39" s="204"/>
      <c r="E39" s="204"/>
      <c r="F39" s="204"/>
      <c r="G39" s="8">
        <f>G38/I38</f>
        <v>9.3283582089552231E-3</v>
      </c>
      <c r="H39" s="8">
        <f>H38/I38</f>
        <v>0.99067164179104472</v>
      </c>
      <c r="I39" s="18">
        <f>G39+H39</f>
        <v>1</v>
      </c>
      <c r="K39" s="175" t="s">
        <v>26</v>
      </c>
      <c r="L39" s="176"/>
      <c r="M39" s="26">
        <f>SUM(M36:M38)</f>
        <v>408</v>
      </c>
      <c r="N39" s="27">
        <f>SUM(N36:N38)</f>
        <v>251.64658634538154</v>
      </c>
      <c r="O39" s="11" t="str">
        <f>TEXT(N39*0.3025,"(0,000.00 평)")</f>
        <v>(0,076.12 평)</v>
      </c>
      <c r="P39" s="294">
        <f>SUM(P36:R38)</f>
        <v>1</v>
      </c>
      <c r="Q39" s="295"/>
      <c r="R39" s="296"/>
      <c r="S39" s="297" t="s">
        <v>83</v>
      </c>
      <c r="T39" s="298"/>
    </row>
    <row r="40" spans="2:22" ht="24.95" customHeight="1" x14ac:dyDescent="0.3"/>
    <row r="41" spans="2:22" ht="24.95" customHeight="1" x14ac:dyDescent="0.3">
      <c r="B41" s="20" t="s">
        <v>87</v>
      </c>
    </row>
    <row r="42" spans="2:22" ht="9.9499999999999993" customHeight="1" thickBot="1" x14ac:dyDescent="0.35">
      <c r="B42" s="20"/>
    </row>
    <row r="43" spans="2:22" ht="24.95" customHeight="1" x14ac:dyDescent="0.3">
      <c r="B43" s="139" t="s">
        <v>7</v>
      </c>
      <c r="C43" s="140" t="s">
        <v>63</v>
      </c>
      <c r="D43" s="140"/>
      <c r="E43" s="140" t="s">
        <v>52</v>
      </c>
      <c r="F43" s="140" t="s">
        <v>54</v>
      </c>
      <c r="G43" s="140" t="s">
        <v>64</v>
      </c>
      <c r="H43" s="140" t="s">
        <v>65</v>
      </c>
      <c r="I43" s="140"/>
      <c r="J43" s="140"/>
      <c r="K43" s="140"/>
      <c r="L43" s="140" t="s">
        <v>53</v>
      </c>
      <c r="M43" s="140"/>
      <c r="N43" s="140" t="s">
        <v>68</v>
      </c>
      <c r="O43" s="140"/>
      <c r="P43" s="140"/>
      <c r="Q43" s="140"/>
      <c r="R43" s="140" t="s">
        <v>70</v>
      </c>
      <c r="S43" s="140"/>
      <c r="T43" s="305" t="s">
        <v>72</v>
      </c>
    </row>
    <row r="44" spans="2:22" ht="24.95" customHeight="1" x14ac:dyDescent="0.3">
      <c r="B44" s="163"/>
      <c r="C44" s="164"/>
      <c r="D44" s="164"/>
      <c r="E44" s="164"/>
      <c r="F44" s="164"/>
      <c r="G44" s="164"/>
      <c r="H44" s="10" t="s">
        <v>66</v>
      </c>
      <c r="I44" s="10" t="s">
        <v>67</v>
      </c>
      <c r="J44" s="168" t="s">
        <v>43</v>
      </c>
      <c r="K44" s="168"/>
      <c r="L44" s="164"/>
      <c r="M44" s="164"/>
      <c r="N44" s="49" t="s">
        <v>91</v>
      </c>
      <c r="O44" s="10" t="s">
        <v>88</v>
      </c>
      <c r="P44" s="10" t="s">
        <v>69</v>
      </c>
      <c r="Q44" s="10" t="s">
        <v>43</v>
      </c>
      <c r="R44" s="164"/>
      <c r="S44" s="164"/>
      <c r="T44" s="306"/>
    </row>
    <row r="45" spans="2:22" ht="24.95" hidden="1" customHeight="1" x14ac:dyDescent="0.3">
      <c r="B45" s="307" t="s">
        <v>8</v>
      </c>
      <c r="C45" s="81" t="s">
        <v>99</v>
      </c>
      <c r="D45" s="76">
        <f>M45</f>
        <v>30.3309906291834</v>
      </c>
      <c r="E45" s="39">
        <v>0</v>
      </c>
      <c r="F45" s="5">
        <f>E45/$E$48</f>
        <v>0</v>
      </c>
      <c r="G45" s="55">
        <v>74.900000000000006</v>
      </c>
      <c r="H45" s="6">
        <f>G45*0.09</f>
        <v>6.7410000000000005</v>
      </c>
      <c r="I45" s="6">
        <f>L45-G45-H45</f>
        <v>18.626737617135205</v>
      </c>
      <c r="J45" s="224">
        <f>H45+I45</f>
        <v>25.367737617135205</v>
      </c>
      <c r="K45" s="225"/>
      <c r="L45" s="6">
        <f>G45/V48</f>
        <v>100.26773761713521</v>
      </c>
      <c r="M45" s="54">
        <f>L45*0.3025</f>
        <v>30.3309906291834</v>
      </c>
      <c r="N45" s="6">
        <f>N48*(G45/$G$48)</f>
        <v>3.3041676444513981</v>
      </c>
      <c r="O45" s="6">
        <f>O48*(G45/$G$48)</f>
        <v>39.307917883465457</v>
      </c>
      <c r="P45" s="6">
        <f>P48*(G45/$G$48)</f>
        <v>4.037562732678734</v>
      </c>
      <c r="Q45" s="6">
        <f>N45+O45+P45</f>
        <v>46.64964826059559</v>
      </c>
      <c r="R45" s="6">
        <f>L45+Q45</f>
        <v>146.91738587773079</v>
      </c>
      <c r="S45" s="65">
        <f>R45*0.3025</f>
        <v>44.442509228013563</v>
      </c>
      <c r="T45" s="38">
        <f>G45/L45</f>
        <v>0.747</v>
      </c>
    </row>
    <row r="46" spans="2:22" ht="24.95" customHeight="1" x14ac:dyDescent="0.3">
      <c r="B46" s="307"/>
      <c r="C46" s="82" t="s">
        <v>100</v>
      </c>
      <c r="D46" s="77">
        <f>M46</f>
        <v>34.416967871485944</v>
      </c>
      <c r="E46" s="83">
        <v>289</v>
      </c>
      <c r="F46" s="5">
        <f>E46/$E$48</f>
        <v>0.70833333333333337</v>
      </c>
      <c r="G46" s="132">
        <v>84.99</v>
      </c>
      <c r="H46" s="6">
        <f>G46*0.09</f>
        <v>7.6490999999999989</v>
      </c>
      <c r="I46" s="6">
        <f t="shared" ref="I46:I47" si="2">L46-G46-H46</f>
        <v>21.136000401606431</v>
      </c>
      <c r="J46" s="224">
        <f>H46+I46</f>
        <v>28.785100401606428</v>
      </c>
      <c r="K46" s="225"/>
      <c r="L46" s="6">
        <f>G46/V48</f>
        <v>113.77510040160642</v>
      </c>
      <c r="M46" s="54">
        <f t="shared" ref="M46:M48" si="3">L46*0.3025</f>
        <v>34.416967871485944</v>
      </c>
      <c r="N46" s="6">
        <f>N48*(G46/$G$48)</f>
        <v>3.7492818171151439</v>
      </c>
      <c r="O46" s="6">
        <f>O48*(G46/$G$48)</f>
        <v>44.603203483521071</v>
      </c>
      <c r="P46" s="6">
        <f>P48*(G46/$G$48)</f>
        <v>4.5814747216337182</v>
      </c>
      <c r="Q46" s="6">
        <f>N46+O46+P46</f>
        <v>52.933960022269936</v>
      </c>
      <c r="R46" s="6">
        <f>L46+Q46</f>
        <v>166.70906042387637</v>
      </c>
      <c r="S46" s="65">
        <f>R46*0.3025</f>
        <v>50.429490778222601</v>
      </c>
      <c r="T46" s="38">
        <f>G46/L46</f>
        <v>0.747</v>
      </c>
    </row>
    <row r="47" spans="2:22" ht="24.95" customHeight="1" x14ac:dyDescent="0.3">
      <c r="B47" s="307"/>
      <c r="C47" s="128" t="s">
        <v>145</v>
      </c>
      <c r="D47" s="76">
        <f>M47</f>
        <v>41.706124497991965</v>
      </c>
      <c r="E47" s="4">
        <v>119</v>
      </c>
      <c r="F47" s="5">
        <f>E47/$E$48</f>
        <v>0.29166666666666669</v>
      </c>
      <c r="G47" s="6">
        <v>102.99</v>
      </c>
      <c r="H47" s="6">
        <f>G47*0.09</f>
        <v>9.2690999999999999</v>
      </c>
      <c r="I47" s="6">
        <f t="shared" si="2"/>
        <v>25.612385943775102</v>
      </c>
      <c r="J47" s="224">
        <f>H47+I47</f>
        <v>34.881485943775104</v>
      </c>
      <c r="K47" s="225"/>
      <c r="L47" s="6">
        <f>G47/V48</f>
        <v>137.8714859437751</v>
      </c>
      <c r="M47" s="54">
        <f t="shared" si="3"/>
        <v>41.706124497991965</v>
      </c>
      <c r="N47" s="6">
        <f>N48*(G47/$G$48)</f>
        <v>4.5433407970901127</v>
      </c>
      <c r="O47" s="6">
        <f>O48*(G47/$G$48)</f>
        <v>54.049699103045477</v>
      </c>
      <c r="P47" s="6">
        <f>P48*(G47/$G$48)</f>
        <v>5.5517835225444951</v>
      </c>
      <c r="Q47" s="6">
        <f>N47+O47+P47</f>
        <v>64.144823422680076</v>
      </c>
      <c r="R47" s="6">
        <f t="shared" ref="R47:R48" si="4">L47+Q47</f>
        <v>202.01630936645518</v>
      </c>
      <c r="S47" s="65">
        <f t="shared" ref="S47:S48" si="5">R47*0.3025</f>
        <v>61.109933583352692</v>
      </c>
      <c r="T47" s="38">
        <f>G47/L47</f>
        <v>0.747</v>
      </c>
    </row>
    <row r="48" spans="2:22" ht="24.95" customHeight="1" thickBot="1" x14ac:dyDescent="0.35">
      <c r="B48" s="299" t="s">
        <v>26</v>
      </c>
      <c r="C48" s="300"/>
      <c r="D48" s="300"/>
      <c r="E48" s="133">
        <f>SUM(E45:E47)</f>
        <v>408</v>
      </c>
      <c r="F48" s="134">
        <f>SUM(F45:F47)</f>
        <v>1</v>
      </c>
      <c r="G48" s="135">
        <f>(E45*G45)+(E46*G46)+(E47*G47)</f>
        <v>36817.919999999998</v>
      </c>
      <c r="H48" s="135">
        <f>(E45*H45)+(E47*H47)+H46*E46</f>
        <v>3313.6127999999994</v>
      </c>
      <c r="I48" s="136">
        <f>(E45*I45)+(E47*I47)+I46*E46</f>
        <v>9156.1780433734966</v>
      </c>
      <c r="J48" s="301">
        <f>H48+I48</f>
        <v>12469.790843373496</v>
      </c>
      <c r="K48" s="302"/>
      <c r="L48" s="136">
        <f>E45*L45+E46*L46+E47*L47</f>
        <v>49287.71084337349</v>
      </c>
      <c r="M48" s="137">
        <f t="shared" si="3"/>
        <v>14909.532530120481</v>
      </c>
      <c r="N48" s="136">
        <f>(G16+G17+G18+G19+G20+G21+G22+G23)+(H16+H17+H18+H19+H20+H21+H22+H23)</f>
        <v>1624.2</v>
      </c>
      <c r="O48" s="136">
        <f>H24</f>
        <v>19322.240000000002</v>
      </c>
      <c r="P48" s="136">
        <f>H25+H26</f>
        <v>1984.7084337349397</v>
      </c>
      <c r="Q48" s="136">
        <f>Q45*E45+Q46*E46+Q47*E47</f>
        <v>22931.148433734939</v>
      </c>
      <c r="R48" s="136">
        <f t="shared" si="4"/>
        <v>72218.859277108422</v>
      </c>
      <c r="S48" s="137">
        <f t="shared" si="5"/>
        <v>21846.204931325297</v>
      </c>
      <c r="T48" s="138">
        <f>G48/L48</f>
        <v>0.747</v>
      </c>
      <c r="U48" t="s">
        <v>72</v>
      </c>
      <c r="V48" s="84">
        <v>0.747</v>
      </c>
    </row>
    <row r="49" spans="2:20" x14ac:dyDescent="0.3">
      <c r="L49" s="22" t="b">
        <f>L48=G15</f>
        <v>1</v>
      </c>
      <c r="N49" s="41" t="b">
        <f>N48=Q17+Q23+Q24+Q27+Q28+H23+Q25+Q26</f>
        <v>1</v>
      </c>
      <c r="O49" s="22"/>
      <c r="R49" s="41" t="b">
        <f>R48=I31-I30</f>
        <v>1</v>
      </c>
    </row>
    <row r="50" spans="2:20" x14ac:dyDescent="0.3">
      <c r="I50" s="51"/>
      <c r="N50" s="40"/>
    </row>
    <row r="51" spans="2:20" x14ac:dyDescent="0.3">
      <c r="B51" s="303"/>
      <c r="C51" s="304"/>
      <c r="D51" s="304"/>
      <c r="E51" s="304"/>
      <c r="F51" s="304"/>
      <c r="G51" s="304"/>
      <c r="H51" s="304"/>
      <c r="I51" s="304"/>
      <c r="J51" s="304"/>
      <c r="L51" s="45" t="s">
        <v>53</v>
      </c>
      <c r="R51" t="s">
        <v>92</v>
      </c>
      <c r="T51" s="46"/>
    </row>
    <row r="52" spans="2:20" x14ac:dyDescent="0.3">
      <c r="L52" s="52">
        <f>G48+J48</f>
        <v>49287.710843373497</v>
      </c>
      <c r="Q52" s="53">
        <f>N48+O48+P48</f>
        <v>22931.148433734943</v>
      </c>
      <c r="R52" s="53">
        <f>G31+H31-I30</f>
        <v>72218.859277108437</v>
      </c>
    </row>
    <row r="53" spans="2:20" x14ac:dyDescent="0.3">
      <c r="L53" s="42" t="b">
        <f>L48=L52</f>
        <v>1</v>
      </c>
      <c r="Q53" s="42" t="b">
        <f>Q52=Q48</f>
        <v>1</v>
      </c>
      <c r="R53" s="42" t="b">
        <f>R52=R48</f>
        <v>1</v>
      </c>
    </row>
    <row r="54" spans="2:20" x14ac:dyDescent="0.3">
      <c r="Q54" s="42"/>
    </row>
    <row r="56" spans="2:20" x14ac:dyDescent="0.3">
      <c r="N56" s="48"/>
    </row>
    <row r="58" spans="2:20" x14ac:dyDescent="0.3">
      <c r="N58" s="58"/>
    </row>
    <row r="70" spans="4:5" x14ac:dyDescent="0.3">
      <c r="D70" s="50"/>
    </row>
    <row r="73" spans="4:5" x14ac:dyDescent="0.3">
      <c r="D73" s="57"/>
      <c r="E73" s="57"/>
    </row>
  </sheetData>
  <mergeCells count="175">
    <mergeCell ref="B5:F5"/>
    <mergeCell ref="G5:I5"/>
    <mergeCell ref="B6:F6"/>
    <mergeCell ref="G6:I6"/>
    <mergeCell ref="B7:F7"/>
    <mergeCell ref="G7:I7"/>
    <mergeCell ref="K5:L5"/>
    <mergeCell ref="G10:H10"/>
    <mergeCell ref="G8:H8"/>
    <mergeCell ref="G9:H9"/>
    <mergeCell ref="B12:F12"/>
    <mergeCell ref="B13:F13"/>
    <mergeCell ref="C14:F14"/>
    <mergeCell ref="C10:F10"/>
    <mergeCell ref="N12:O12"/>
    <mergeCell ref="N13:O13"/>
    <mergeCell ref="N14:O14"/>
    <mergeCell ref="G13:I13"/>
    <mergeCell ref="D8:F8"/>
    <mergeCell ref="D9:F9"/>
    <mergeCell ref="C8:C9"/>
    <mergeCell ref="B8:B11"/>
    <mergeCell ref="C11:F11"/>
    <mergeCell ref="Q5:R5"/>
    <mergeCell ref="K6:L6"/>
    <mergeCell ref="K7:L16"/>
    <mergeCell ref="Q6:R6"/>
    <mergeCell ref="K17:L17"/>
    <mergeCell ref="K18:L18"/>
    <mergeCell ref="K19:L19"/>
    <mergeCell ref="K20:L20"/>
    <mergeCell ref="Q11:R11"/>
    <mergeCell ref="Q10:R10"/>
    <mergeCell ref="M5:O5"/>
    <mergeCell ref="N15:O15"/>
    <mergeCell ref="M16:O16"/>
    <mergeCell ref="M17:O17"/>
    <mergeCell ref="M18:O18"/>
    <mergeCell ref="M19:O19"/>
    <mergeCell ref="M20:O20"/>
    <mergeCell ref="M6:O6"/>
    <mergeCell ref="N7:O7"/>
    <mergeCell ref="N8:O8"/>
    <mergeCell ref="N9:O9"/>
    <mergeCell ref="N10:O10"/>
    <mergeCell ref="N11:O11"/>
    <mergeCell ref="M7:M14"/>
    <mergeCell ref="J47:K47"/>
    <mergeCell ref="J48:K48"/>
    <mergeCell ref="Q24:R24"/>
    <mergeCell ref="M26:O26"/>
    <mergeCell ref="M27:O27"/>
    <mergeCell ref="K39:L39"/>
    <mergeCell ref="K37:L37"/>
    <mergeCell ref="K38:L38"/>
    <mergeCell ref="K36:L36"/>
    <mergeCell ref="M30:O30"/>
    <mergeCell ref="M28:O28"/>
    <mergeCell ref="M31:O31"/>
    <mergeCell ref="M32:O32"/>
    <mergeCell ref="Q30:R30"/>
    <mergeCell ref="Q31:R31"/>
    <mergeCell ref="Q32:R32"/>
    <mergeCell ref="M29:O29"/>
    <mergeCell ref="N35:O35"/>
    <mergeCell ref="M25:O25"/>
    <mergeCell ref="P38:R38"/>
    <mergeCell ref="P39:R39"/>
    <mergeCell ref="J46:K46"/>
    <mergeCell ref="M24:O24"/>
    <mergeCell ref="D29:F29"/>
    <mergeCell ref="C43:D44"/>
    <mergeCell ref="B36:F36"/>
    <mergeCell ref="C30:F30"/>
    <mergeCell ref="C31:F32"/>
    <mergeCell ref="B14:B32"/>
    <mergeCell ref="B33:F33"/>
    <mergeCell ref="E23:F23"/>
    <mergeCell ref="E24:F24"/>
    <mergeCell ref="C15:F15"/>
    <mergeCell ref="C16:C29"/>
    <mergeCell ref="D20:F20"/>
    <mergeCell ref="D21:F21"/>
    <mergeCell ref="D22:F22"/>
    <mergeCell ref="B37:F39"/>
    <mergeCell ref="B34:F34"/>
    <mergeCell ref="B35:F35"/>
    <mergeCell ref="D16:F16"/>
    <mergeCell ref="D17:F17"/>
    <mergeCell ref="D18:F18"/>
    <mergeCell ref="D19:F19"/>
    <mergeCell ref="S11:T11"/>
    <mergeCell ref="S12:T12"/>
    <mergeCell ref="B48:D48"/>
    <mergeCell ref="L43:M44"/>
    <mergeCell ref="N43:Q43"/>
    <mergeCell ref="R43:S44"/>
    <mergeCell ref="G11:I11"/>
    <mergeCell ref="G12:I12"/>
    <mergeCell ref="E43:E44"/>
    <mergeCell ref="F43:F44"/>
    <mergeCell ref="G43:G44"/>
    <mergeCell ref="H43:K43"/>
    <mergeCell ref="J44:K44"/>
    <mergeCell ref="B45:B47"/>
    <mergeCell ref="D25:F25"/>
    <mergeCell ref="D26:F26"/>
    <mergeCell ref="D27:F27"/>
    <mergeCell ref="D28:F28"/>
    <mergeCell ref="Q18:R18"/>
    <mergeCell ref="P37:R37"/>
    <mergeCell ref="M21:O21"/>
    <mergeCell ref="M22:O22"/>
    <mergeCell ref="J45:K45"/>
    <mergeCell ref="B43:B44"/>
    <mergeCell ref="G36:H36"/>
    <mergeCell ref="K21:K32"/>
    <mergeCell ref="L21:L22"/>
    <mergeCell ref="K35:L35"/>
    <mergeCell ref="G33:H33"/>
    <mergeCell ref="G34:H34"/>
    <mergeCell ref="G35:H35"/>
    <mergeCell ref="M23:O23"/>
    <mergeCell ref="S36:T36"/>
    <mergeCell ref="S9:T9"/>
    <mergeCell ref="S10:T10"/>
    <mergeCell ref="B51:J51"/>
    <mergeCell ref="S5:T5"/>
    <mergeCell ref="S6:T6"/>
    <mergeCell ref="Q19:R19"/>
    <mergeCell ref="Q20:R20"/>
    <mergeCell ref="Q22:R22"/>
    <mergeCell ref="Q21:R21"/>
    <mergeCell ref="Q23:R23"/>
    <mergeCell ref="Q12:R12"/>
    <mergeCell ref="Q13:R13"/>
    <mergeCell ref="Q15:R15"/>
    <mergeCell ref="Q17:R17"/>
    <mergeCell ref="S7:T8"/>
    <mergeCell ref="P16:R16"/>
    <mergeCell ref="P14:R14"/>
    <mergeCell ref="S21:T22"/>
    <mergeCell ref="S23:T23"/>
    <mergeCell ref="S24:T24"/>
    <mergeCell ref="Q7:R7"/>
    <mergeCell ref="Q8:R8"/>
    <mergeCell ref="Q9:R9"/>
    <mergeCell ref="T43:T44"/>
    <mergeCell ref="S17:T17"/>
    <mergeCell ref="S18:T18"/>
    <mergeCell ref="S19:T19"/>
    <mergeCell ref="S13:T13"/>
    <mergeCell ref="S14:T14"/>
    <mergeCell ref="S15:T15"/>
    <mergeCell ref="S16:T16"/>
    <mergeCell ref="S20:T20"/>
    <mergeCell ref="S35:T35"/>
    <mergeCell ref="S28:T28"/>
    <mergeCell ref="S29:T29"/>
    <mergeCell ref="S30:T30"/>
    <mergeCell ref="S31:T31"/>
    <mergeCell ref="S25:T25"/>
    <mergeCell ref="S26:T26"/>
    <mergeCell ref="S27:T27"/>
    <mergeCell ref="S37:T37"/>
    <mergeCell ref="S38:T38"/>
    <mergeCell ref="S39:T39"/>
    <mergeCell ref="Q25:R25"/>
    <mergeCell ref="Q26:R26"/>
    <mergeCell ref="Q27:R27"/>
    <mergeCell ref="Q28:R28"/>
    <mergeCell ref="Q29:R29"/>
    <mergeCell ref="P35:R35"/>
    <mergeCell ref="P36:R36"/>
    <mergeCell ref="S32:T32"/>
  </mergeCells>
  <phoneticPr fontId="1" type="noConversion"/>
  <pageMargins left="0.7" right="0.7" top="0.75" bottom="0.75" header="0.3" footer="0.3"/>
  <pageSetup paperSize="9" scale="4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0897B-8D0D-4E79-A970-2EA545E8F0EB}">
  <dimension ref="B1:M27"/>
  <sheetViews>
    <sheetView topLeftCell="A14" workbookViewId="0">
      <selection activeCell="C22" sqref="C22"/>
    </sheetView>
  </sheetViews>
  <sheetFormatPr defaultRowHeight="16.5" x14ac:dyDescent="0.3"/>
  <cols>
    <col min="1" max="1" width="4.25" customWidth="1"/>
    <col min="2" max="2" width="35.375" customWidth="1"/>
    <col min="3" max="3" width="16.75" customWidth="1"/>
    <col min="4" max="4" width="37.375" customWidth="1"/>
    <col min="5" max="5" width="4.5" customWidth="1"/>
    <col min="13" max="13" width="39" customWidth="1"/>
  </cols>
  <sheetData>
    <row r="1" spans="2:3" hidden="1" x14ac:dyDescent="0.3">
      <c r="B1" s="88" t="s">
        <v>106</v>
      </c>
    </row>
    <row r="2" spans="2:3" hidden="1" x14ac:dyDescent="0.3">
      <c r="C2" s="86">
        <f>((1+0.3*C5)/(1-C5))*C4</f>
        <v>3.9429567905889442</v>
      </c>
    </row>
    <row r="3" spans="2:3" hidden="1" x14ac:dyDescent="0.3">
      <c r="B3" t="s">
        <v>102</v>
      </c>
      <c r="C3" s="48">
        <v>2582</v>
      </c>
    </row>
    <row r="4" spans="2:3" hidden="1" x14ac:dyDescent="0.3">
      <c r="B4" t="s">
        <v>103</v>
      </c>
      <c r="C4" s="85">
        <v>3.5</v>
      </c>
    </row>
    <row r="5" spans="2:3" hidden="1" x14ac:dyDescent="0.3">
      <c r="B5" s="50" t="s">
        <v>104</v>
      </c>
      <c r="C5">
        <f>(C3/C6)/2</f>
        <v>8.8716327652556354E-2</v>
      </c>
    </row>
    <row r="6" spans="2:3" hidden="1" x14ac:dyDescent="0.3">
      <c r="B6" t="s">
        <v>105</v>
      </c>
      <c r="C6" s="48">
        <v>14552</v>
      </c>
    </row>
    <row r="7" spans="2:3" hidden="1" x14ac:dyDescent="0.3"/>
    <row r="8" spans="2:3" hidden="1" x14ac:dyDescent="0.3"/>
    <row r="9" spans="2:3" hidden="1" x14ac:dyDescent="0.3">
      <c r="B9" s="88" t="s">
        <v>107</v>
      </c>
    </row>
    <row r="10" spans="2:3" hidden="1" x14ac:dyDescent="0.3">
      <c r="B10" s="88" t="s">
        <v>108</v>
      </c>
      <c r="C10" s="85">
        <f>(C11*1.5*C12)/C13</f>
        <v>1.1324561403508773</v>
      </c>
    </row>
    <row r="11" spans="2:3" hidden="1" x14ac:dyDescent="0.3">
      <c r="B11" t="s">
        <v>109</v>
      </c>
      <c r="C11" s="85">
        <v>3.5</v>
      </c>
    </row>
    <row r="12" spans="2:3" hidden="1" x14ac:dyDescent="0.3">
      <c r="B12" t="s">
        <v>110</v>
      </c>
      <c r="C12" s="87">
        <v>2582</v>
      </c>
    </row>
    <row r="13" spans="2:3" hidden="1" x14ac:dyDescent="0.3">
      <c r="B13" t="s">
        <v>111</v>
      </c>
      <c r="C13" s="40">
        <f>C6-C3</f>
        <v>11970</v>
      </c>
    </row>
    <row r="15" spans="2:3" x14ac:dyDescent="0.3">
      <c r="B15" s="42" t="s">
        <v>120</v>
      </c>
      <c r="C15" s="95">
        <f>C16*C17/C18</f>
        <v>0.62101429356789439</v>
      </c>
    </row>
    <row r="16" spans="2:3" x14ac:dyDescent="0.3">
      <c r="B16" s="88" t="s">
        <v>119</v>
      </c>
      <c r="C16">
        <v>2582</v>
      </c>
    </row>
    <row r="17" spans="2:13" x14ac:dyDescent="0.3">
      <c r="B17" s="88" t="s">
        <v>117</v>
      </c>
      <c r="C17" s="85">
        <v>3.5</v>
      </c>
    </row>
    <row r="18" spans="2:13" x14ac:dyDescent="0.3">
      <c r="B18" s="88" t="s">
        <v>118</v>
      </c>
      <c r="C18">
        <v>14552</v>
      </c>
    </row>
    <row r="19" spans="2:13" x14ac:dyDescent="0.3">
      <c r="B19" s="96" t="s">
        <v>121</v>
      </c>
      <c r="C19" s="97">
        <f>C17+C15</f>
        <v>4.1210142935678942</v>
      </c>
    </row>
    <row r="21" spans="2:13" ht="16.5" customHeight="1" x14ac:dyDescent="0.3">
      <c r="B21" s="42" t="s">
        <v>124</v>
      </c>
      <c r="C21" s="95">
        <f>C22+((1.5*C23*C24)/C25)</f>
        <v>3.731077694235589</v>
      </c>
      <c r="E21" s="85"/>
      <c r="F21" s="313" t="s">
        <v>123</v>
      </c>
      <c r="G21" s="313"/>
      <c r="H21" s="313"/>
      <c r="I21" s="313"/>
      <c r="J21" s="313"/>
      <c r="K21" s="313"/>
      <c r="L21" s="313"/>
      <c r="M21" s="313"/>
    </row>
    <row r="22" spans="2:13" x14ac:dyDescent="0.3">
      <c r="B22" s="88" t="s">
        <v>125</v>
      </c>
      <c r="C22" s="86">
        <v>3.5</v>
      </c>
      <c r="D22" s="1" t="s">
        <v>130</v>
      </c>
      <c r="F22" s="313"/>
      <c r="G22" s="313"/>
      <c r="H22" s="313"/>
      <c r="I22" s="313"/>
      <c r="J22" s="313"/>
      <c r="K22" s="313"/>
      <c r="L22" s="313"/>
      <c r="M22" s="313"/>
    </row>
    <row r="23" spans="2:13" x14ac:dyDescent="0.3">
      <c r="B23" s="88" t="s">
        <v>126</v>
      </c>
      <c r="C23" s="87">
        <v>1844</v>
      </c>
      <c r="F23" s="313"/>
      <c r="G23" s="313"/>
      <c r="H23" s="313"/>
      <c r="I23" s="313"/>
      <c r="J23" s="313"/>
      <c r="K23" s="313"/>
      <c r="L23" s="313"/>
      <c r="M23" s="313"/>
    </row>
    <row r="24" spans="2:13" x14ac:dyDescent="0.3">
      <c r="B24" s="88" t="s">
        <v>127</v>
      </c>
      <c r="C24">
        <v>1</v>
      </c>
    </row>
    <row r="25" spans="2:13" x14ac:dyDescent="0.3">
      <c r="B25" s="88" t="s">
        <v>122</v>
      </c>
      <c r="C25" s="87">
        <v>11970</v>
      </c>
      <c r="F25" s="314" t="s">
        <v>128</v>
      </c>
      <c r="G25" s="314"/>
      <c r="H25" s="314"/>
    </row>
    <row r="26" spans="2:13" x14ac:dyDescent="0.3">
      <c r="B26" s="88" t="s">
        <v>131</v>
      </c>
      <c r="C26" s="99">
        <f>C23+C25</f>
        <v>13814</v>
      </c>
      <c r="F26" s="314" t="s">
        <v>129</v>
      </c>
      <c r="G26" s="314"/>
      <c r="H26" s="314"/>
    </row>
    <row r="27" spans="2:13" x14ac:dyDescent="0.3">
      <c r="F27" s="314"/>
      <c r="G27" s="314"/>
      <c r="H27" s="314"/>
    </row>
  </sheetData>
  <mergeCells count="3">
    <mergeCell ref="F21:M23"/>
    <mergeCell ref="F26:H27"/>
    <mergeCell ref="F25:H2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B777-741A-4C95-A11E-D94DCC311DD7}">
  <dimension ref="A1:L23"/>
  <sheetViews>
    <sheetView zoomScaleNormal="100" workbookViewId="0">
      <selection activeCell="N20" sqref="N20"/>
    </sheetView>
  </sheetViews>
  <sheetFormatPr defaultRowHeight="16.5" x14ac:dyDescent="0.3"/>
  <cols>
    <col min="1" max="1" width="23.375" customWidth="1"/>
    <col min="2" max="4" width="12.625" customWidth="1"/>
    <col min="5" max="5" width="11.625" customWidth="1"/>
    <col min="6" max="6" width="25.625" customWidth="1"/>
    <col min="7" max="9" width="15.625" customWidth="1"/>
  </cols>
  <sheetData>
    <row r="1" spans="1:12" ht="100.5" customHeight="1" x14ac:dyDescent="0.3">
      <c r="A1" s="320" t="s">
        <v>141</v>
      </c>
      <c r="B1" s="320"/>
      <c r="C1" s="320"/>
      <c r="D1" s="320"/>
      <c r="E1" s="47"/>
      <c r="F1" s="319" t="s">
        <v>142</v>
      </c>
      <c r="G1" s="319"/>
      <c r="H1" s="319"/>
      <c r="I1" s="319"/>
      <c r="J1" s="47"/>
      <c r="K1" s="47"/>
      <c r="L1" s="47"/>
    </row>
    <row r="2" spans="1:12" ht="21" thickBot="1" x14ac:dyDescent="0.35">
      <c r="A2" s="113" t="s">
        <v>139</v>
      </c>
      <c r="F2" s="113" t="s">
        <v>139</v>
      </c>
    </row>
    <row r="3" spans="1:12" x14ac:dyDescent="0.3">
      <c r="A3" s="104" t="s">
        <v>7</v>
      </c>
      <c r="B3" s="105" t="s">
        <v>132</v>
      </c>
      <c r="C3" s="105" t="s">
        <v>133</v>
      </c>
      <c r="D3" s="106" t="s">
        <v>134</v>
      </c>
      <c r="F3" s="104" t="s">
        <v>7</v>
      </c>
      <c r="G3" s="105" t="s">
        <v>132</v>
      </c>
      <c r="H3" s="105" t="s">
        <v>133</v>
      </c>
      <c r="I3" s="106" t="s">
        <v>134</v>
      </c>
    </row>
    <row r="4" spans="1:12" ht="17.25" thickBot="1" x14ac:dyDescent="0.35">
      <c r="A4" s="101" t="s">
        <v>109</v>
      </c>
      <c r="B4" s="102">
        <v>337</v>
      </c>
      <c r="C4" s="102">
        <v>350</v>
      </c>
      <c r="D4" s="103">
        <v>500</v>
      </c>
      <c r="F4" s="101" t="s">
        <v>109</v>
      </c>
      <c r="G4" s="102">
        <v>337</v>
      </c>
      <c r="H4" s="102">
        <v>350</v>
      </c>
      <c r="I4" s="103">
        <v>500</v>
      </c>
    </row>
    <row r="5" spans="1:12" ht="17.25" thickBot="1" x14ac:dyDescent="0.35"/>
    <row r="6" spans="1:12" x14ac:dyDescent="0.3">
      <c r="A6" s="107" t="s">
        <v>135</v>
      </c>
      <c r="B6" s="321">
        <v>14552</v>
      </c>
      <c r="C6" s="321"/>
      <c r="D6" s="322"/>
      <c r="F6" s="107" t="s">
        <v>135</v>
      </c>
      <c r="G6" s="321">
        <v>14552</v>
      </c>
      <c r="H6" s="321"/>
      <c r="I6" s="322"/>
    </row>
    <row r="7" spans="1:12" x14ac:dyDescent="0.3">
      <c r="A7" s="108" t="s">
        <v>137</v>
      </c>
      <c r="B7" s="315">
        <v>1844.4</v>
      </c>
      <c r="C7" s="315"/>
      <c r="D7" s="316"/>
      <c r="F7" s="108" t="s">
        <v>137</v>
      </c>
      <c r="G7" s="315">
        <v>1844.4</v>
      </c>
      <c r="H7" s="315"/>
      <c r="I7" s="316"/>
    </row>
    <row r="8" spans="1:12" ht="17.25" thickBot="1" x14ac:dyDescent="0.35">
      <c r="A8" s="109" t="s">
        <v>136</v>
      </c>
      <c r="B8" s="317">
        <v>11970</v>
      </c>
      <c r="C8" s="317"/>
      <c r="D8" s="318"/>
      <c r="F8" s="109" t="s">
        <v>136</v>
      </c>
      <c r="G8" s="317">
        <v>11970</v>
      </c>
      <c r="H8" s="317"/>
      <c r="I8" s="318"/>
    </row>
    <row r="9" spans="1:12" ht="17.25" thickBot="1" x14ac:dyDescent="0.35"/>
    <row r="10" spans="1:12" ht="17.25" thickBot="1" x14ac:dyDescent="0.35">
      <c r="A10" s="110" t="s">
        <v>138</v>
      </c>
      <c r="B10" s="115">
        <f>B4+(1.5*($B$7*B4)/$B$8)</f>
        <v>414.89007518796996</v>
      </c>
      <c r="C10" s="112">
        <f t="shared" ref="C10:D10" si="0">C4+(1.5*($B$7*C4)/$B$8)</f>
        <v>430.89473684210526</v>
      </c>
      <c r="D10" s="114">
        <f t="shared" si="0"/>
        <v>615.56390977443607</v>
      </c>
      <c r="F10" s="110" t="s">
        <v>138</v>
      </c>
      <c r="G10" s="111">
        <f>G4+(1.5*($G$7*100)/$G$8)</f>
        <v>360.11278195488723</v>
      </c>
      <c r="H10" s="112">
        <f>H4+(1.5*($G$7*100)/$G$8)</f>
        <v>373.11278195488723</v>
      </c>
      <c r="I10" s="114">
        <f>I4+(1.5*($G$7*100)/$G$8)</f>
        <v>523.11278195488717</v>
      </c>
    </row>
    <row r="12" spans="1:12" ht="21" thickBot="1" x14ac:dyDescent="0.35">
      <c r="A12" s="113" t="s">
        <v>140</v>
      </c>
      <c r="F12" s="113" t="s">
        <v>140</v>
      </c>
    </row>
    <row r="13" spans="1:12" x14ac:dyDescent="0.3">
      <c r="A13" s="104" t="s">
        <v>7</v>
      </c>
      <c r="B13" s="105" t="s">
        <v>132</v>
      </c>
      <c r="C13" s="105" t="s">
        <v>133</v>
      </c>
      <c r="D13" s="106" t="s">
        <v>134</v>
      </c>
      <c r="F13" s="104" t="s">
        <v>7</v>
      </c>
      <c r="G13" s="105" t="s">
        <v>132</v>
      </c>
      <c r="H13" s="105" t="s">
        <v>133</v>
      </c>
      <c r="I13" s="106" t="s">
        <v>134</v>
      </c>
    </row>
    <row r="14" spans="1:12" ht="17.25" thickBot="1" x14ac:dyDescent="0.35">
      <c r="A14" s="101" t="s">
        <v>109</v>
      </c>
      <c r="B14" s="102">
        <v>337</v>
      </c>
      <c r="C14" s="102">
        <v>350</v>
      </c>
      <c r="D14" s="103">
        <v>500</v>
      </c>
      <c r="F14" s="101" t="s">
        <v>109</v>
      </c>
      <c r="G14" s="102">
        <v>337</v>
      </c>
      <c r="H14" s="102">
        <v>350</v>
      </c>
      <c r="I14" s="103">
        <v>500</v>
      </c>
    </row>
    <row r="15" spans="1:12" ht="17.25" thickBot="1" x14ac:dyDescent="0.35"/>
    <row r="16" spans="1:12" x14ac:dyDescent="0.3">
      <c r="A16" s="107" t="s">
        <v>135</v>
      </c>
      <c r="B16" s="321">
        <v>23117</v>
      </c>
      <c r="C16" s="321"/>
      <c r="D16" s="322"/>
      <c r="F16" s="107" t="s">
        <v>135</v>
      </c>
      <c r="G16" s="321">
        <v>23117</v>
      </c>
      <c r="H16" s="321"/>
      <c r="I16" s="322"/>
    </row>
    <row r="17" spans="1:9" x14ac:dyDescent="0.3">
      <c r="A17" s="108" t="s">
        <v>137</v>
      </c>
      <c r="B17" s="315">
        <v>3652</v>
      </c>
      <c r="C17" s="315"/>
      <c r="D17" s="316"/>
      <c r="F17" s="108" t="s">
        <v>137</v>
      </c>
      <c r="G17" s="315">
        <v>3652</v>
      </c>
      <c r="H17" s="315"/>
      <c r="I17" s="316"/>
    </row>
    <row r="18" spans="1:9" ht="17.25" thickBot="1" x14ac:dyDescent="0.35">
      <c r="A18" s="109" t="s">
        <v>136</v>
      </c>
      <c r="B18" s="317">
        <v>15929</v>
      </c>
      <c r="C18" s="317"/>
      <c r="D18" s="318"/>
      <c r="F18" s="109" t="s">
        <v>136</v>
      </c>
      <c r="G18" s="317">
        <v>15929</v>
      </c>
      <c r="H18" s="317"/>
      <c r="I18" s="318"/>
    </row>
    <row r="19" spans="1:9" ht="17.25" thickBot="1" x14ac:dyDescent="0.35"/>
    <row r="20" spans="1:9" ht="17.25" thickBot="1" x14ac:dyDescent="0.35">
      <c r="A20" s="110" t="s">
        <v>138</v>
      </c>
      <c r="B20" s="115">
        <f>B14+(1.5*($B$17*B14)/$B$18)</f>
        <v>452.8946575428464</v>
      </c>
      <c r="C20" s="112">
        <f>C14+(1.5*($B$17*C14)/$B$18)</f>
        <v>470.36537133530038</v>
      </c>
      <c r="D20" s="114">
        <f>D14+(1.5*($B$17*D14)/$B$18)</f>
        <v>671.95053047900058</v>
      </c>
      <c r="F20" s="110" t="s">
        <v>138</v>
      </c>
      <c r="G20" s="111">
        <f>G14+(1.5*($G$17*100)/$G$18)</f>
        <v>371.39010609580009</v>
      </c>
      <c r="H20" s="112">
        <f>H14+(1.5*($G$17*100)/$G$18)</f>
        <v>384.39010609580009</v>
      </c>
      <c r="I20" s="114">
        <f>I14+(1.5*($G$17*100)/$G$18)</f>
        <v>534.39010609580009</v>
      </c>
    </row>
    <row r="22" spans="1:9" x14ac:dyDescent="0.3">
      <c r="F22" s="80" t="s">
        <v>143</v>
      </c>
    </row>
    <row r="23" spans="1:9" x14ac:dyDescent="0.3">
      <c r="F23" t="s">
        <v>144</v>
      </c>
    </row>
  </sheetData>
  <mergeCells count="14">
    <mergeCell ref="G17:I17"/>
    <mergeCell ref="G18:I18"/>
    <mergeCell ref="F1:I1"/>
    <mergeCell ref="A1:D1"/>
    <mergeCell ref="G6:I6"/>
    <mergeCell ref="G7:I7"/>
    <mergeCell ref="G8:I8"/>
    <mergeCell ref="G16:I16"/>
    <mergeCell ref="B6:D6"/>
    <mergeCell ref="B7:D7"/>
    <mergeCell ref="B8:D8"/>
    <mergeCell ref="B16:D16"/>
    <mergeCell ref="B17:D17"/>
    <mergeCell ref="B18:D1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AE50-8A05-4E01-BBBD-46F77B720D0D}">
  <dimension ref="B2:I26"/>
  <sheetViews>
    <sheetView topLeftCell="A6" workbookViewId="0">
      <selection activeCell="F16" sqref="F16"/>
    </sheetView>
  </sheetViews>
  <sheetFormatPr defaultRowHeight="16.5" x14ac:dyDescent="0.3"/>
  <cols>
    <col min="2" max="2" width="19" customWidth="1"/>
    <col min="3" max="7" width="12.625" customWidth="1"/>
    <col min="8" max="8" width="22.375" customWidth="1"/>
    <col min="9" max="9" width="15.625" customWidth="1"/>
    <col min="10" max="10" width="12.625" customWidth="1"/>
  </cols>
  <sheetData>
    <row r="2" spans="2:9" x14ac:dyDescent="0.3">
      <c r="B2" s="116" t="s">
        <v>147</v>
      </c>
      <c r="C2" s="116"/>
      <c r="D2" s="116"/>
      <c r="E2" s="116"/>
      <c r="F2" s="116"/>
      <c r="G2" s="116"/>
    </row>
    <row r="4" spans="2:9" x14ac:dyDescent="0.3">
      <c r="B4" s="119" t="s">
        <v>7</v>
      </c>
      <c r="C4" s="119" t="s">
        <v>148</v>
      </c>
      <c r="D4" s="119" t="s">
        <v>153</v>
      </c>
      <c r="E4" s="119" t="s">
        <v>52</v>
      </c>
      <c r="F4" s="119" t="s">
        <v>155</v>
      </c>
      <c r="G4" s="119" t="s">
        <v>64</v>
      </c>
      <c r="H4" s="119" t="s">
        <v>72</v>
      </c>
      <c r="I4" s="119" t="s">
        <v>152</v>
      </c>
    </row>
    <row r="5" spans="2:9" ht="30" customHeight="1" x14ac:dyDescent="0.3">
      <c r="B5" s="119" t="s">
        <v>149</v>
      </c>
      <c r="C5" s="2" t="s">
        <v>150</v>
      </c>
      <c r="D5" s="117">
        <v>4.03</v>
      </c>
      <c r="E5" s="2" t="s">
        <v>160</v>
      </c>
      <c r="F5" s="98" t="s">
        <v>154</v>
      </c>
      <c r="G5" s="98">
        <v>84</v>
      </c>
      <c r="H5" s="122">
        <v>0.73</v>
      </c>
      <c r="I5" s="2" t="s">
        <v>151</v>
      </c>
    </row>
    <row r="6" spans="2:9" ht="30" customHeight="1" x14ac:dyDescent="0.3">
      <c r="B6" s="119" t="s">
        <v>156</v>
      </c>
      <c r="C6" s="2" t="s">
        <v>157</v>
      </c>
      <c r="D6" s="2"/>
      <c r="E6" s="2" t="s">
        <v>159</v>
      </c>
      <c r="F6" s="98" t="s">
        <v>161</v>
      </c>
      <c r="G6" s="98">
        <v>84</v>
      </c>
      <c r="H6" s="122">
        <v>0.75</v>
      </c>
      <c r="I6" s="2" t="s">
        <v>158</v>
      </c>
    </row>
    <row r="7" spans="2:9" ht="30" customHeight="1" x14ac:dyDescent="0.3">
      <c r="B7" s="120" t="s">
        <v>162</v>
      </c>
      <c r="C7" s="2" t="s">
        <v>163</v>
      </c>
      <c r="D7" s="2"/>
      <c r="E7" s="2" t="s">
        <v>164</v>
      </c>
      <c r="F7" s="98" t="s">
        <v>161</v>
      </c>
      <c r="G7" s="98">
        <v>84</v>
      </c>
      <c r="H7" s="122">
        <v>0.74</v>
      </c>
      <c r="I7" s="2" t="s">
        <v>165</v>
      </c>
    </row>
    <row r="8" spans="2:9" ht="30" customHeight="1" x14ac:dyDescent="0.3">
      <c r="B8" s="120" t="s">
        <v>166</v>
      </c>
      <c r="C8" s="2" t="s">
        <v>167</v>
      </c>
      <c r="D8" s="2"/>
      <c r="E8" s="2" t="s">
        <v>168</v>
      </c>
      <c r="F8" s="98" t="s">
        <v>170</v>
      </c>
      <c r="G8" s="98">
        <v>84</v>
      </c>
      <c r="H8" s="122">
        <v>0.73</v>
      </c>
      <c r="I8" s="2" t="s">
        <v>169</v>
      </c>
    </row>
    <row r="9" spans="2:9" ht="30" customHeight="1" x14ac:dyDescent="0.3">
      <c r="B9" s="120" t="s">
        <v>185</v>
      </c>
      <c r="C9" s="2" t="s">
        <v>171</v>
      </c>
      <c r="D9" s="117">
        <v>2.48</v>
      </c>
      <c r="E9" s="2" t="s">
        <v>172</v>
      </c>
      <c r="F9" s="2" t="s">
        <v>174</v>
      </c>
      <c r="G9" s="98" t="s">
        <v>206</v>
      </c>
      <c r="H9" s="117">
        <v>0.77</v>
      </c>
      <c r="I9" s="2" t="s">
        <v>173</v>
      </c>
    </row>
    <row r="10" spans="2:9" ht="30" customHeight="1" x14ac:dyDescent="0.3">
      <c r="B10" s="120" t="s">
        <v>186</v>
      </c>
      <c r="C10" s="2" t="s">
        <v>171</v>
      </c>
      <c r="D10" s="117">
        <v>2.4300000000000002</v>
      </c>
      <c r="E10" s="2" t="s">
        <v>187</v>
      </c>
      <c r="F10" s="2" t="s">
        <v>179</v>
      </c>
      <c r="G10" s="98" t="s">
        <v>205</v>
      </c>
      <c r="H10" s="117">
        <v>0.77</v>
      </c>
      <c r="I10" s="2" t="s">
        <v>188</v>
      </c>
    </row>
    <row r="11" spans="2:9" ht="30" customHeight="1" x14ac:dyDescent="0.3">
      <c r="B11" s="119" t="s">
        <v>175</v>
      </c>
      <c r="C11" s="2" t="s">
        <v>176</v>
      </c>
      <c r="D11" s="117">
        <v>2.4700000000000002</v>
      </c>
      <c r="E11" s="2" t="s">
        <v>177</v>
      </c>
      <c r="F11" s="2" t="s">
        <v>179</v>
      </c>
      <c r="G11" s="2">
        <v>84</v>
      </c>
      <c r="H11" s="117">
        <v>0.76</v>
      </c>
      <c r="I11" s="2" t="s">
        <v>178</v>
      </c>
    </row>
    <row r="12" spans="2:9" ht="30" customHeight="1" x14ac:dyDescent="0.3">
      <c r="B12" s="120" t="s">
        <v>199</v>
      </c>
      <c r="C12" s="2">
        <v>2023.03</v>
      </c>
      <c r="D12" s="117">
        <v>2.4500000000000002</v>
      </c>
      <c r="E12" s="2" t="s">
        <v>200</v>
      </c>
      <c r="F12" s="2" t="s">
        <v>204</v>
      </c>
      <c r="G12" s="2" t="s">
        <v>203</v>
      </c>
      <c r="H12" s="117" t="s">
        <v>202</v>
      </c>
      <c r="I12" s="2" t="s">
        <v>201</v>
      </c>
    </row>
    <row r="13" spans="2:9" ht="30" customHeight="1" x14ac:dyDescent="0.3">
      <c r="B13" s="120" t="s">
        <v>180</v>
      </c>
      <c r="C13" s="2" t="s">
        <v>181</v>
      </c>
      <c r="D13" s="117">
        <v>4.42</v>
      </c>
      <c r="E13" s="2" t="s">
        <v>182</v>
      </c>
      <c r="F13" s="2" t="s">
        <v>183</v>
      </c>
      <c r="G13" s="2" t="s">
        <v>205</v>
      </c>
      <c r="H13" s="117">
        <v>0.74</v>
      </c>
      <c r="I13" s="2" t="s">
        <v>184</v>
      </c>
    </row>
    <row r="14" spans="2:9" ht="30" customHeight="1" x14ac:dyDescent="0.3">
      <c r="B14" s="119" t="s">
        <v>189</v>
      </c>
      <c r="C14" s="2">
        <v>2012.07</v>
      </c>
      <c r="D14" s="2">
        <v>249</v>
      </c>
      <c r="E14" s="2" t="s">
        <v>192</v>
      </c>
      <c r="F14" s="2" t="s">
        <v>190</v>
      </c>
      <c r="G14" s="2" t="s">
        <v>205</v>
      </c>
      <c r="H14" s="117">
        <v>0.75</v>
      </c>
      <c r="I14" s="2" t="s">
        <v>191</v>
      </c>
    </row>
    <row r="15" spans="2:9" ht="30" customHeight="1" x14ac:dyDescent="0.3">
      <c r="B15" s="119" t="s">
        <v>193</v>
      </c>
      <c r="C15" s="2" t="s">
        <v>196</v>
      </c>
      <c r="D15" s="2"/>
      <c r="E15" s="2" t="s">
        <v>197</v>
      </c>
      <c r="F15" s="2" t="s">
        <v>194</v>
      </c>
      <c r="G15" s="2">
        <v>62</v>
      </c>
      <c r="H15" s="118" t="s">
        <v>198</v>
      </c>
      <c r="I15" s="2" t="s">
        <v>195</v>
      </c>
    </row>
    <row r="16" spans="2:9" ht="30" customHeight="1" x14ac:dyDescent="0.3">
      <c r="B16" s="120" t="s">
        <v>207</v>
      </c>
      <c r="C16" s="2" t="s">
        <v>208</v>
      </c>
      <c r="D16" s="117">
        <v>12.01</v>
      </c>
      <c r="E16" s="2" t="s">
        <v>210</v>
      </c>
      <c r="F16" s="98" t="s">
        <v>211</v>
      </c>
      <c r="G16" s="98" t="s">
        <v>212</v>
      </c>
      <c r="H16" s="122">
        <v>0.75</v>
      </c>
      <c r="I16" s="2" t="s">
        <v>209</v>
      </c>
    </row>
    <row r="17" spans="2:9" ht="30" customHeight="1" x14ac:dyDescent="0.3">
      <c r="B17" s="120" t="s">
        <v>213</v>
      </c>
      <c r="C17" s="2" t="s">
        <v>214</v>
      </c>
      <c r="D17" s="117">
        <v>9.65</v>
      </c>
      <c r="E17" s="2" t="s">
        <v>215</v>
      </c>
      <c r="F17" s="98" t="s">
        <v>161</v>
      </c>
      <c r="G17" s="98" t="s">
        <v>216</v>
      </c>
      <c r="H17" s="98" t="s">
        <v>217</v>
      </c>
      <c r="I17" s="2" t="s">
        <v>218</v>
      </c>
    </row>
    <row r="18" spans="2:9" ht="30" customHeight="1" x14ac:dyDescent="0.3">
      <c r="B18" s="123" t="s">
        <v>219</v>
      </c>
      <c r="C18" s="2" t="s">
        <v>220</v>
      </c>
      <c r="D18" s="117">
        <v>2.41</v>
      </c>
      <c r="E18" s="2" t="s">
        <v>221</v>
      </c>
      <c r="F18" s="121" t="s">
        <v>222</v>
      </c>
      <c r="G18" s="100" t="s">
        <v>223</v>
      </c>
      <c r="H18" s="2" t="s">
        <v>224</v>
      </c>
      <c r="I18" s="2" t="s">
        <v>225</v>
      </c>
    </row>
    <row r="19" spans="2:9" ht="30" customHeight="1" x14ac:dyDescent="0.3">
      <c r="B19" s="119" t="s">
        <v>226</v>
      </c>
      <c r="C19" s="2" t="s">
        <v>227</v>
      </c>
      <c r="D19" s="117">
        <v>2.46</v>
      </c>
      <c r="E19" s="2" t="s">
        <v>229</v>
      </c>
      <c r="F19" s="2" t="s">
        <v>222</v>
      </c>
      <c r="G19" s="2" t="s">
        <v>230</v>
      </c>
      <c r="H19" s="2" t="s">
        <v>231</v>
      </c>
      <c r="I19" s="2" t="s">
        <v>228</v>
      </c>
    </row>
    <row r="20" spans="2:9" ht="30" customHeight="1" x14ac:dyDescent="0.3"/>
    <row r="21" spans="2:9" ht="30" customHeight="1" x14ac:dyDescent="0.3"/>
    <row r="22" spans="2:9" ht="30" customHeight="1" x14ac:dyDescent="0.3"/>
    <row r="23" spans="2:9" ht="30" customHeight="1" x14ac:dyDescent="0.3"/>
    <row r="24" spans="2:9" ht="30" customHeight="1" x14ac:dyDescent="0.3"/>
    <row r="25" spans="2:9" ht="30" customHeight="1" x14ac:dyDescent="0.3"/>
    <row r="26" spans="2:9" ht="30" customHeight="1" x14ac:dyDescent="0.3"/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6C5E82D35A6CC46BF5D9D5E7FAB10C8" ma:contentTypeVersion="16" ma:contentTypeDescription="새 문서를 만듭니다." ma:contentTypeScope="" ma:versionID="7761a96f3af6b6792534836eced7b747">
  <xsd:schema xmlns:xsd="http://www.w3.org/2001/XMLSchema" xmlns:xs="http://www.w3.org/2001/XMLSchema" xmlns:p="http://schemas.microsoft.com/office/2006/metadata/properties" xmlns:ns3="9e54dca3-dd02-4d54-9f03-40b30c829cd5" xmlns:ns4="2f1a8f6c-debb-4c2e-865d-4069799565a4" targetNamespace="http://schemas.microsoft.com/office/2006/metadata/properties" ma:root="true" ma:fieldsID="e6fc12298c721cffd21f1a017eb25f6d" ns3:_="" ns4:_="">
    <xsd:import namespace="9e54dca3-dd02-4d54-9f03-40b30c829cd5"/>
    <xsd:import namespace="2f1a8f6c-debb-4c2e-865d-4069799565a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ServiceLoca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4dca3-dd02-4d54-9f03-40b30c829cd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힌트 해시 공유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1a8f6c-debb-4c2e-865d-4069799565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1a8f6c-debb-4c2e-865d-4069799565a4" xsi:nil="true"/>
  </documentManagement>
</p:properties>
</file>

<file path=customXml/itemProps1.xml><?xml version="1.0" encoding="utf-8"?>
<ds:datastoreItem xmlns:ds="http://schemas.openxmlformats.org/officeDocument/2006/customXml" ds:itemID="{B9A7A1D4-1E5F-4FE7-989A-DF991D1119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4E1F66-767D-48D5-A0D9-0F3089D7E0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54dca3-dd02-4d54-9f03-40b30c829cd5"/>
    <ds:schemaRef ds:uri="2f1a8f6c-debb-4c2e-865d-4069799565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46B77D-BC03-446F-9788-F0EE40D8334B}">
  <ds:schemaRefs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2f1a8f6c-debb-4c2e-865d-4069799565a4"/>
    <ds:schemaRef ds:uri="http://purl.org/dc/elements/1.1/"/>
    <ds:schemaRef ds:uri="http://schemas.microsoft.com/office/2006/documentManagement/types"/>
    <ds:schemaRef ds:uri="http://www.w3.org/XML/1998/namespace"/>
    <ds:schemaRef ds:uri="9e54dca3-dd02-4d54-9f03-40b30c829cd5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개요1단지(4,5BL)</vt:lpstr>
      <vt:lpstr>개요2단지(3BL)</vt:lpstr>
      <vt:lpstr>Sheet1</vt:lpstr>
      <vt:lpstr>용적률 인센티브 계산</vt:lpstr>
      <vt:lpstr>주변단지 사례</vt:lpstr>
      <vt:lpstr>'개요1단지(4,5BL)'!Print_Area</vt:lpstr>
      <vt:lpstr>'개요2단지(3BL)'!Print_Area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송일한</dc:creator>
  <cp:lastModifiedBy>최현원</cp:lastModifiedBy>
  <cp:lastPrinted>2026-07-14T11:03:16Z</cp:lastPrinted>
  <dcterms:created xsi:type="dcterms:W3CDTF">2026-05-10T23:58:00Z</dcterms:created>
  <dcterms:modified xsi:type="dcterms:W3CDTF">2026-07-20T01:25:18Z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0x01010056C5E82D35A6CC46BF5D9D5E7FAB10C8</vt:lpwstr>
  </property>
</Properties>
</file>